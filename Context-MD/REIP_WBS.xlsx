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utpac-my.sharepoint.com/personal/helio_castillo_utp_ac_pa/Documents/"/>
    </mc:Choice>
  </mc:AlternateContent>
  <xr:revisionPtr revIDLastSave="29" documentId="11_068385FBE5E22BA22B9CFFB823C0BF4A9D352AC1" xr6:coauthVersionLast="47" xr6:coauthVersionMax="47" xr10:uidLastSave="{02232F44-2614-FF41-B719-AE6789B9940F}"/>
  <bookViews>
    <workbookView xWindow="20" yWindow="600" windowWidth="38400" windowHeight="21000" tabRatio="500" activeTab="6" xr2:uid="{00000000-000D-0000-FFFF-FFFF00000000}"/>
  </bookViews>
  <sheets>
    <sheet name="Resumen" sheetId="1" r:id="rId1"/>
    <sheet name="1.0 Infraestructura y Datos" sheetId="2" r:id="rId2"/>
    <sheet name="2.0 M1 Preference Matching" sheetId="3" r:id="rId3"/>
    <sheet name="3.0 M2 Valuation Engine" sheetId="4" r:id="rId4"/>
    <sheet name="4.0 M3 NLP Orchestration" sheetId="5" r:id="rId5"/>
    <sheet name="5.0 Frontend UI" sheetId="6" r:id="rId6"/>
    <sheet name="6.0 Doc. Académica y Técnica" sheetId="7" r:id="rId7"/>
    <sheet name="7.0 Testing y Validación" sheetId="8" r:id="rId8"/>
    <sheet name="8.0 Deploy y Demo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<sst xmlns="http://schemas.openxmlformats.org/spreadsheetml/2006/main" count="921" uniqueCount="519">
  <si>
    <t>REIP — WBS: Resumen de Story Points por Épica</t>
  </si>
  <si>
    <t>23 días disponibles desde el 18 de junio de 2026 | 4 ingenieros | Story points en Fibonacci</t>
  </si>
  <si>
    <t>Épica</t>
  </si>
  <si>
    <t>Hoja</t>
  </si>
  <si>
    <t>SP Total</t>
  </si>
  <si>
    <t>Épica 1.0 — Infraestructura y Pipeline de Datos</t>
  </si>
  <si>
    <t>1.0 Infraestructura y Datos</t>
  </si>
  <si>
    <t>Épica 2.0 — Módulo 1: Preference Matching Module</t>
  </si>
  <si>
    <t>2.0 M1 Preference Matching</t>
  </si>
  <si>
    <t>Épica 3.0 — Módulo 2: Property Valuation Engine</t>
  </si>
  <si>
    <t>3.0 M2 Valuation Engine</t>
  </si>
  <si>
    <t>Épica 4.0 — Módulo 3: NLP Orchestration Layer</t>
  </si>
  <si>
    <t>4.0 M3 NLP Orchestration</t>
  </si>
  <si>
    <t>Épica 5.0 — Frontend / UI</t>
  </si>
  <si>
    <t>5.0 Frontend UI</t>
  </si>
  <si>
    <t>Épica 6.0 — Documentación Académica y Técnica</t>
  </si>
  <si>
    <t>6.0 Documentación Académica y Técnica</t>
  </si>
  <si>
    <t>Épica 7.0 — Testing y Validación</t>
  </si>
  <si>
    <t>7.0 Testing y Validación</t>
  </si>
  <si>
    <t>Épica 8.0 — Deploy y Demo</t>
  </si>
  <si>
    <t>8.0 Deploy y Demo</t>
  </si>
  <si>
    <t>TOTAL</t>
  </si>
  <si>
    <t>Story Points totales: 87   |   4 ingenieros — 23 días disponibles</t>
  </si>
  <si>
    <t>Feature 1.1 — Setup de entorno</t>
  </si>
  <si>
    <t>ID</t>
  </si>
  <si>
    <t>Tarea</t>
  </si>
  <si>
    <t>SP</t>
  </si>
  <si>
    <t>Condición de Done</t>
  </si>
  <si>
    <t>Depende de</t>
  </si>
  <si>
    <t>Responsable</t>
  </si>
  <si>
    <t>Estatus</t>
  </si>
  <si>
    <t>1.1.1</t>
  </si>
  <si>
    <t>Crear proyecto Supabase, habilitar extensiones PostGIS y pgvector</t>
  </si>
  <si>
    <t>Conexión verificada desde local; SELECT PostGIS_version() y SELECT * FROM pg_extension WHERE extname='vector' devuelven resultado</t>
  </si>
  <si>
    <t>—</t>
  </si>
  <si>
    <t>Completado</t>
  </si>
  <si>
    <t>1.1.2</t>
  </si>
  <si>
    <t>Inicializar repo GitHub con estructura de ramas (main, dev, feature/SRS-XXX) y .gitignore</t>
  </si>
  <si>
    <t>Ramas creadas; PR de prueba merged a dev sin errores de CI</t>
  </si>
  <si>
    <t>1.1.3</t>
  </si>
  <si>
    <t>Setup FastAPI + uvicorn + estructura de carpetas (/app, /routers, /services, /models)</t>
  </si>
  <si>
    <t>GET /health responde 200 en local</t>
  </si>
  <si>
    <t>1.1.4</t>
  </si>
  <si>
    <t>Setup Next.js 14 + instalar y configurar MapLibre GL JS</t>
  </si>
  <si>
    <t>Página raíz renderiza un mapa de Panamá centrado en Ciudad de Panamá sin errores de consola</t>
  </si>
  <si>
    <t>1.1.5</t>
  </si>
  <si>
    <t>Configurar Railway (backend) y Vercel (frontend) con deploy automático desde rama dev</t>
  </si>
  <si>
    <t>Push a dev dispara deploy; URL pública accesible para ambos servicios</t>
  </si>
  <si>
    <t>1.1.3, 1.1.4</t>
  </si>
  <si>
    <t>1.1.6</t>
  </si>
  <si>
    <t>Gestión de secrets: API key Gemini, credenciales Supabase, configuración por entorno (local/dev/prod)</t>
  </si>
  <si>
    <t>Ninguna credencial hardcodeada en el repo; variables de entorno documentadas en README.md</t>
  </si>
  <si>
    <t>Total Feature 1.1</t>
  </si>
  <si>
    <t>Feature 1.2 — Pipeline de scraping (inmopanama.com — fuente primaria confirmada)</t>
  </si>
  <si>
    <t>1.2.1</t>
  </si>
  <si>
    <t>Verificar robots.txt y ToS de inmopanama.com (spike pendiente de DOC-04 §2.1)</t>
  </si>
  <si>
    <t>Hallazgo documentado en una línea en el decision log: robots.txt permite/prohíbe crawling general; ToS permite/prohíbe scraping automatizado</t>
  </si>
  <si>
    <t>1.2.2</t>
  </si>
  <si>
    <t>Inspeccionar HTML de un listing individual: confirmar qué campos expone (¿lat/lon directo? ¿precio/m²? ¿amenidades?)</t>
  </si>
  <si>
    <t>Lista documentada de campos extraíbles + identificación de si el sitio expone coordenadas geográficas en el HTML o requieren geocoding posterior</t>
  </si>
  <si>
    <t>1.2.3</t>
  </si>
  <si>
    <t>Migrar scraper Selenium existente a Playwright (recomendado en DOC-04 para producción a volumen)</t>
  </si>
  <si>
    <t>Playwright extrae los mismos campos que el scraper Selenium actual para una muestra de 20 listings sin errores; rate de éxito ≥ 95%</t>
  </si>
  <si>
    <t>1.2.4</t>
  </si>
  <si>
    <t>Implementar scraping por corregimiento con paginación robusta</t>
  </si>
  <si>
    <t>Los 8 corregimientos tienen al menos el piso Tier-1 de cobertura mínima ingresado en Supabase; paginación no se detiene ante fallos aislados</t>
  </si>
  <si>
    <t>1.2.3, 1.5.1</t>
  </si>
  <si>
    <t>1.2.5</t>
  </si>
  <si>
    <t>Completar conteos reales de Parque Lefevre, Betania y Pedregal (pendiente de Pilares §2)</t>
  </si>
  <si>
    <t>Conteos documentados en el decision log; umbral mínimo de cobertura por zona fijado y conocido por todo el equipo</t>
  </si>
  <si>
    <t>1.2.6</t>
  </si>
  <si>
    <t>Implementar geocoding de direcciones si inmopanama no expone lat/lon (Google Maps Geocoding API con caché TTL 30 días)</t>
  </si>
  <si>
    <t>Todas las propiedades sin coordenadas tienen geom poblado; caché en Postgres evita reconsultar la misma dirección</t>
  </si>
  <si>
    <t>1.2.7</t>
  </si>
  <si>
    <t>Validar calidad del catálogo final: duplicados, campos críticos nulos, precio/m² calculado</t>
  </si>
  <si>
    <t>Script de validación corre sin errores; reporte de calidad muestra &lt; 5% de registros con precio nulo y 0 duplicados exactos</t>
  </si>
  <si>
    <t>1.2.4, 1.2.6</t>
  </si>
  <si>
    <t>Total Feature 1.2</t>
  </si>
  <si>
    <t>Feature 1.3 — Carga de datos externos (fuentes de enriquecimiento de zona)</t>
  </si>
  <si>
    <t>1.3.1</t>
  </si>
  <si>
    <t>Descargar shapefiles de corregimientos (STRI/HDX) y cargar a PostGIS vía shp2pgsql/ogr2ogr</t>
  </si>
  <si>
    <t>Los 8 polígonos de corregimientos están en la tabla corregimientos.geom; ST_IsValid() devuelve TRUE para todos</t>
  </si>
  <si>
    <t>1.3.2</t>
  </si>
  <si>
    <t>Descargar dataset Metro de Panamá (datosabiertos.gob.pa) y cargar estaciones como puntos PostGIS</t>
  </si>
  <si>
    <t>30 estaciones (L1 + L2) cargadas en tabla amenidades con tipo metro; coordenadas verificadas visualmente en mapa</t>
  </si>
  <si>
    <t>1.3.3</t>
  </si>
  <si>
    <t>Procesar panatrans-dataset GTFS (MiBus): extraer paradas y cargar como puntos PostGIS</t>
  </si>
  <si>
    <t>Paradas GTFS de los 8 corregimientos cargadas; se documenta cobertura por zona (especialmente las 4 periféricas — Lefevre, Betania, Pedregal, Costa del Este) conforme advertencia de DOC-04 §2.3</t>
  </si>
  <si>
    <t>1.3.4</t>
  </si>
  <si>
    <t>Probar extracción de tablas de PDFs SIEC (Camelot/Tabula — spike crítico de DOC-04 §2.2)</t>
  </si>
  <si>
    <t>Se descarga 1 PDF real de SIEC y se corre Camelot; resultado documentado: extracción automatizable o requiere transcripción manual. Decisión tomada antes de invertir más tiempo.</t>
  </si>
  <si>
    <t>1.3.5</t>
  </si>
  <si>
    <t>Extraer e ingestar datos SIEC por corregimiento (automatizado o manual según resultado de 1.3.4)</t>
  </si>
  <si>
    <t>Tabla con tasa de homicidios por corregimiento para los 8 en alcance; fuente y año documentados</t>
  </si>
  <si>
    <t>1.3.6</t>
  </si>
  <si>
    <t>Extraer variables INEC 2023 por corregimiento (población, vivienda, alfabetización, composición de hogares)</t>
  </si>
  <si>
    <t>Variables relevantes cargadas en tabla auxiliar; trazables a la dimensión socioeconómica del Zone Health Index</t>
  </si>
  <si>
    <t>1.3.7</t>
  </si>
  <si>
    <t>Ingesta de amenidades por corregimiento vía Google Places y/o OSM Overpass (supermercados, hospitales, parques, farmacias, colegios)</t>
  </si>
  <si>
    <t>Al menos 5 categorías de amenidades cargadas para los 8 corregimientos; caché en Postgres evita reconsultas</t>
  </si>
  <si>
    <t>Total Feature 1.3</t>
  </si>
  <si>
    <t>Feature 1.4 — Zone Health Composite Index (activo compartido M1 + M2)</t>
  </si>
  <si>
    <t>1.4.1</t>
  </si>
  <si>
    <t>Normalizar variables de seguridad (SIEC) a escala 0–1 por corregimiento</t>
  </si>
  <si>
    <t>Función de normalización documentada; valores en rango [0,1] para los 8 corregimientos</t>
  </si>
  <si>
    <t>1.4.2</t>
  </si>
  <si>
    <t>Calcular densidad de transporte por corregimiento (paradas GTFS + estaciones metro por km²)</t>
  </si>
  <si>
    <t>Score de transporte calculado y normalizado para los 8 zonas</t>
  </si>
  <si>
    <t>1.3.2, 1.3.3</t>
  </si>
  <si>
    <t>1.4.3</t>
  </si>
  <si>
    <t>Calcular densidad de amenidades por corregimiento (conteo ponderado por categoría)</t>
  </si>
  <si>
    <t>Score de amenidades calculado para los 8 zonas; peso por categoría documentado</t>
  </si>
  <si>
    <t>1.4.4</t>
  </si>
  <si>
    <t>Calcular proxy de walkability (densidad vial peatonal + distancia a amenidades clave usando PostGIS)</t>
  </si>
  <si>
    <t>Score de walkability calculado; metodología documentada para defensa</t>
  </si>
  <si>
    <t>1.3.1, 1.3.7</t>
  </si>
  <si>
    <t>1.4.5</t>
  </si>
  <si>
    <t>Integrar variables INEC a score socioeconómico normalizado</t>
  </si>
  <si>
    <t>Score socioeconómico calculado y normalizado para los 8 corregimientos</t>
  </si>
  <si>
    <t>1.4.6</t>
  </si>
  <si>
    <t>Implementar fórmula ponderada final y almacenar resultado + desglose en corregimientos.zone_health_score y corregimientos.desglose_dimensiones (jsonb)</t>
  </si>
  <si>
    <t>Scores calculados para las 8 zonas; pesos trazables al orden de prioridad de la encuesta; almacenados en DB</t>
  </si>
  <si>
    <t>1.4.1–1.4.5</t>
  </si>
  <si>
    <t>1.4.7</t>
  </si>
  <si>
    <t>Revisión cualitativa del equipo: ¿los scores tienen sentido para las zonas conocidas? (ej. Pedregal debe salir bajo en seguridad, San Francisco alto)</t>
  </si>
  <si>
    <t>Al menos 2 integrantes del equipo han revisado los scores y han firmado off; cualquier anomalía documentada</t>
  </si>
  <si>
    <t>Total Feature 1.4</t>
  </si>
  <si>
    <t>Feature 1.5 — Esquema de base de datos</t>
  </si>
  <si>
    <t>1.5.1</t>
  </si>
  <si>
    <t>Implementar tabla propiedades con columna geom (Point/PostGIS) y embedding (vector/pgvector) + índice GiST y HNSW</t>
  </si>
  <si>
    <t>Migración ejecutada en Supabase; \d propiedades muestra todos los campos del esquema DOC-05 §4.2; índices verificados con \di</t>
  </si>
  <si>
    <t>No iniciado</t>
  </si>
  <si>
    <t>1.5.2</t>
  </si>
  <si>
    <t>Implementar tabla corregimientos con geom (Polygon) y campos de Zone Health</t>
  </si>
  <si>
    <t>Migración ejecutada; 8 corregimientos cargados con polígonos válidos</t>
  </si>
  <si>
    <t>1.5.3</t>
  </si>
  <si>
    <t>Implementar tabla amenidades con geom (Point) e índice GiST</t>
  </si>
  <si>
    <t>Migración ejecutada; consulta ST_DWithin de prueba devuelve resultados correctos</t>
  </si>
  <si>
    <t>1.5.4</t>
  </si>
  <si>
    <t>Implementar tablas sesiones_consulta, scores_compatibilidad, scores_valuacion</t>
  </si>
  <si>
    <t>Migraciones ejecutadas; FKs verificadas con INSERT de prueba</t>
  </si>
  <si>
    <t>1.5.5</t>
  </si>
  <si>
    <t>Implementar tabla conjunto_referencia_m1 con flag flag_sintetico = TRUE forzado</t>
  </si>
  <si>
    <t>Tabla creada; constraint CHECK (flag_sintetico = TRUE) aplicado; imposible insertar datos sin el flag</t>
  </si>
  <si>
    <t>1.5.6</t>
  </si>
  <si>
    <t>Prueba de rendimiento de consulta combinada PostGIS + pgvector bajo volumen real (spike crítico DOC-04 §1.3)</t>
  </si>
  <si>
    <t>Con el catálogo al menos al 50% de volumen final, una consulta que combina ST_DWithin + &lt;=&gt; (cosine similarity) responde en &lt; 3s; resultado documentado en decision log</t>
  </si>
  <si>
    <t>1.5.1, 1.2.4</t>
  </si>
  <si>
    <t>Total Feature 1.5</t>
  </si>
  <si>
    <t>Story Points totales: 31   |   4 ingenieros — 23 días disponibles</t>
  </si>
  <si>
    <t>Feature 2.1 — Embeddings de propiedades</t>
  </si>
  <si>
    <t>2.1.1</t>
  </si>
  <si>
    <t>Seleccionar y documentar modelo de embeddings (debe ser el mismo que usará M3 para embeddings de consultas — consistencia de espacio vectorial obligatoria)</t>
  </si>
  <si>
    <t>Decisión documentada en decision log con justificación; modelo fijado como constante compartida en el código</t>
  </si>
  <si>
    <t>2.1.2</t>
  </si>
  <si>
    <t>Implementar función generar_embedding(texto: str) → vector reutilizable por M1 y M3</t>
  </si>
  <si>
    <t>Misma función usada por M1 y M3; mismo input produce mismo vector en 100% de las pruebas de reproducibilidad</t>
  </si>
  <si>
    <t>2.1.3</t>
  </si>
  <si>
    <t>Ejecutar batch de embeddings sobre todo el catálogo y almacenar en propiedades.embedding</t>
  </si>
  <si>
    <t>100% de propiedades con descripción tienen embedding no nulo; propiedades sin descripción tienen embedding NULL con flag documentado</t>
  </si>
  <si>
    <t>2.1.2, 1.5.1, 1.2.7</t>
  </si>
  <si>
    <t>2.1.4</t>
  </si>
  <si>
    <t>Crear índice HNSW sobre propiedades.embedding y verificar rendimiento de búsqueda ANN</t>
  </si>
  <si>
    <t>Índice HNSW construido; búsqueda ANN de prueba sobre el catálogo completo responde en &lt; 500ms</t>
  </si>
  <si>
    <t>Total Feature 2.1</t>
  </si>
  <si>
    <t>Feature 2.2 — Búsqueda vectorial y scorer</t>
  </si>
  <si>
    <t>2.2.1</t>
  </si>
  <si>
    <t>Implementar función de búsqueda ANN (cosine similarity via HNSW, top-k configurable, con filtros SQL opcionales)</t>
  </si>
  <si>
    <t>Función retorna top-k candidatos ordenados por similitud; filtros de precio y corregimiento aplicables en la misma query</t>
  </si>
  <si>
    <t>2.2.2</t>
  </si>
  <si>
    <t>Implementar extracción de atributos estructurados de perfil (precio máx, habitaciones, zonas preferidas, distancia a metro máx)</t>
  </si>
  <si>
    <t>Parser probado contra 5 perfiles de ejemplo; extrae correctamente todos los atributos estructurados</t>
  </si>
  <si>
    <t>2.2.3</t>
  </si>
  <si>
    <t>Implementar fórmula de score 0–100: score_final = (0.6 × score_semantico) + (0.4 × score_estructurado) con pesos iniciales documentados como ajustables</t>
  </si>
  <si>
    <t>Score reproducible para el mismo par perfil-propiedad; desglose por criterio disponible como output secundario</t>
  </si>
  <si>
    <t>2.2.1, 2.2.2</t>
  </si>
  <si>
    <t>2.2.4</t>
  </si>
  <si>
    <t>Implementar explainer: qué criterios cumplió/no cumplió cada propiedad</t>
  </si>
  <si>
    <t>Output incluye lista de criterios con estado (cumplido/no cumplido) para al menos 4 dimensiones (precio, habitaciones, zona, transporte)</t>
  </si>
  <si>
    <t>2.2.5</t>
  </si>
  <si>
    <t>Endpoint FastAPI: POST /match/score (consumido internamente por M3, no expuesto públicamente)</t>
  </si>
  <si>
    <t>Endpoint responde correctamente para 10 pares de prueba; tiempo de respuesta documentado</t>
  </si>
  <si>
    <t>2.2.3, 2.2.4, 1.1.3</t>
  </si>
  <si>
    <t>Total Feature 2.2</t>
  </si>
  <si>
    <t>Feature 2.3 — Conjunto de referencia y validación OE-01</t>
  </si>
  <si>
    <t>2.3.1</t>
  </si>
  <si>
    <t>Diseñar y construir 15–25 pares perfil-propiedad sintéticos con ranking esperado conocido</t>
  </si>
  <si>
    <t>Pares almacenados en conjunto_referencia_m1 con flag_sintetico = TRUE; ranking esperado justificado por criterios explícitos, no arbitrario</t>
  </si>
  <si>
    <t>2.2.4, 1.5.5</t>
  </si>
  <si>
    <t>2.3.2</t>
  </si>
  <si>
    <t>Calibrar pesos (0.6/0.4 iniciales) contra el conjunto de referencia; ajustar si Precision@k lo exige</t>
  </si>
  <si>
    <t>Proceso de calibración documentado; pesos finales registrados en decision log con justificación</t>
  </si>
  <si>
    <t>2.3.1, 2.2.3</t>
  </si>
  <si>
    <t>2.3.3</t>
  </si>
  <si>
    <t>Calcular Precision@k (k=3 y k=5) sobre el conjunto de referencia y documentar</t>
  </si>
  <si>
    <t>Tabla de resultados generada; advertencia explícita incluida: evaluado contra conjunto de referencia construido, no panel externo de usuarios reales</t>
  </si>
  <si>
    <t>Total Feature 2.3</t>
  </si>
  <si>
    <t>Story Points totales: 41   |   4 ingenieros — 23 días disponibles</t>
  </si>
  <si>
    <t>Feature 3.1 — Semáforo de precio (KNN)</t>
  </si>
  <si>
    <t>3.1.1</t>
  </si>
  <si>
    <t>Implementar consulta de comparables por corregimiento y tipo de inmueble usando ST_Distance PostGIS</t>
  </si>
  <si>
    <t>Consulta devuelve k vecinos más cercanos geográficamente del mismo tipo; tiempo de respuesta &lt; 1s con índice GiST</t>
  </si>
  <si>
    <t>1.5.1, 1.2.7</t>
  </si>
  <si>
    <t>3.1.2</t>
  </si>
  <si>
    <t>Implementar KNN para predicción de precio/m² a partir de comparables</t>
  </si>
  <si>
    <t>Modelo entrenado y serializado; predice precio/m² para cualquier propiedad del catálogo</t>
  </si>
  <si>
    <t>3.1.3</t>
  </si>
  <si>
    <t>Implementar lógica de etiqueta semáforo con umbral configurable (justo/sobrevalorado/subvalorado)</t>
  </si>
  <si>
    <t>Umbral documentado; las 3 etiquetas son alcanzables con el catálogo actual (no todos verdes ni todos rojos)</t>
  </si>
  <si>
    <t>3.1.4</t>
  </si>
  <si>
    <t>Validar con 5-fold cross-validation; calcular MAE promedio ± desviación estándar</t>
  </si>
  <si>
    <t>Resultados de 5-fold documentados en tabla; MAE calculado por zona para identificar zonas con modelos más débiles</t>
  </si>
  <si>
    <t>3.1.5</t>
  </si>
  <si>
    <t>Endpoint FastAPI: GET /valuation/semaforo/{propiedad_id}</t>
  </si>
  <si>
    <t>Endpoint responde con etiqueta + desviación % para cualquier propiedad del catálogo; error claro si ID no existe</t>
  </si>
  <si>
    <t>3.1.3, 1.1.3</t>
  </si>
  <si>
    <t>3.1.6</t>
  </si>
  <si>
    <t>Almacenar resultados del semáforo en scores_valuacion (pre-computado, no recalculado en tiempo real)</t>
  </si>
  <si>
    <t>Todos los registros del catálogo tienen etiqueta de semáforo en DB; endpoint lee de DB, no recalcula</t>
  </si>
  <si>
    <t>Total Feature 3.1</t>
  </si>
  <si>
    <t>Feature 3.2 — Segmento de mercado (KMeans)</t>
  </si>
  <si>
    <t>3.2.1</t>
  </si>
  <si>
    <t>Preparar features para clustering: precio/m², metraje, conteo de amenidades cercanas</t>
  </si>
  <si>
    <t>Dataset de features construido sin valores nulos; distribuciones revisadas visualmente</t>
  </si>
  <si>
    <t>1.2.7, 1.3.7</t>
  </si>
  <si>
    <t>3.2.2</t>
  </si>
  <si>
    <t>Entrenar KMeans con k=5 sobre el catálogo completo</t>
  </si>
  <si>
    <t>Modelo entrenado y serializado; asignación de cluster para todas las propiedades</t>
  </si>
  <si>
    <t>3.2.3</t>
  </si>
  <si>
    <t>Calcular Silhouette score y documentar (compromiso metodológico de tesis, no opcional)</t>
  </si>
  <si>
    <t>Silhouette score calculado y registrado; si es &lt; 0.3 se documenta la limitación explícitamente en la tesis</t>
  </si>
  <si>
    <t>3.2.4</t>
  </si>
  <si>
    <t>Revisar y etiquetar cualitativamente los 5 clusters con nombres descriptivos</t>
  </si>
  <si>
    <t>Cada cluster tiene una etiqueta legible (ej. Zona céntrica precio medio-alto); revisión hecha por al menos 2 integrantes del equipo</t>
  </si>
  <si>
    <t>3.2.5</t>
  </si>
  <si>
    <t>Almacenar asignación de cluster en scores_valuacion</t>
  </si>
  <si>
    <t>Campo segmento_cluster poblado para todas las propiedades del catálogo</t>
  </si>
  <si>
    <t>3.2.4, 1.5.4</t>
  </si>
  <si>
    <t>Total Feature 3.2</t>
  </si>
  <si>
    <t>Feature 3.3 — Comparación metodológica RF vs KNN (evidencia académica)</t>
  </si>
  <si>
    <t>3.3.1</t>
  </si>
  <si>
    <t>Entrenar Random Forest para predicción de precio absoluto sobre el mismo dataset de KNN</t>
  </si>
  <si>
    <t>Modelo RF entrenado y serializado; predicciones disponibles para el conjunto de test</t>
  </si>
  <si>
    <t>3.3.2</t>
  </si>
  <si>
    <t>Comparar MAE de RF vs MAE de KNN sobre el mismo conjunto de test con 5-fold CV</t>
  </si>
  <si>
    <t>Tabla comparativa generada con MAE ± std para ambos modelos; esta tabla va a la tesis, no necesariamente a la UI</t>
  </si>
  <si>
    <t>3.3.1, 3.1.4</t>
  </si>
  <si>
    <t>Total Feature 3.3</t>
  </si>
  <si>
    <t>Feature 3.4 — Quality Scorer (LLM sobre descripción del listing)</t>
  </si>
  <si>
    <t>3.4.1</t>
  </si>
  <si>
    <t>Diseñar system prompt de evaluación: completitud, especificidad, confiabilidad, utilidad; definir schema JSON de respuesta</t>
  </si>
  <si>
    <t>Prompt probado manualmente contra 5 listings reales; JSON parseado correctamente en los 5 casos</t>
  </si>
  <si>
    <t>3.4.2</t>
  </si>
  <si>
    <t>Implementar función de llamada a Gemini API + parseo de respuesta + manejo de error</t>
  </si>
  <si>
    <t>Función maneja respuesta malformada sin crash; loggea el error y marca el listing como no evaluable</t>
  </si>
  <si>
    <t>3.4.3</t>
  </si>
  <si>
    <t>Ejecutar batch sobre el catálogo completo (activar capa de pago de Gemini desde el inicio — costo ~$1-2 total, no arriesgar el cronograma por ahorrar esto)</t>
  </si>
  <si>
    <t>quality_score_jsonb poblado para todos los listings con descripción; listings sin descripción tienen estado no_evaluable explícito</t>
  </si>
  <si>
    <t>3.4.2, 1.2.7</t>
  </si>
  <si>
    <t>Total Feature 3.4</t>
  </si>
  <si>
    <t>Feature 3.5 — Endpoint de transparencia del modelo</t>
  </si>
  <si>
    <t>3.5.1</t>
  </si>
  <si>
    <t>Generar dataset de pares predicho/real sobre el conjunto de test del semáforo KNN</t>
  </si>
  <si>
    <t>CSV/tabla con columnas propiedad_id, precio_real, precio_predicho, zona; MAE calculado coincide con el reportado en 3.1.4</t>
  </si>
  <si>
    <t>3.5.2</t>
  </si>
  <si>
    <t>Endpoint FastAPI: GET /valuation/transparencia</t>
  </si>
  <si>
    <t>Endpoint devuelve los pares y el MAE; consumido por el gráfico de dispersión del frontend (SRS-022)</t>
  </si>
  <si>
    <t>3.5.1, 1.1.3</t>
  </si>
  <si>
    <t>Total Feature 3.5</t>
  </si>
  <si>
    <t>Story Points totales: 22   |   4 ingenieros — 23 días disponibles</t>
  </si>
  <si>
    <t>Feature 4.1 — Integración Gemini para extracción de intención</t>
  </si>
  <si>
    <t>4.1.1</t>
  </si>
  <si>
    <t>Diseñar system prompt para extracción de entidades (precio, zona, tipo, habitaciones, características cualitativas) y definir schema JSON de respuesta con campo de confianza</t>
  </si>
  <si>
    <t>Prompt probado contra 10 consultas de ejemplo (5 claras, 5 ambiguas); JSON parseado correctamente en los 10 casos</t>
  </si>
  <si>
    <t>4.1.2</t>
  </si>
  <si>
    <t>Implementar llamada a Gemini API, parseo del JSON de respuesta y manejo de error (retry + fallback)</t>
  </si>
  <si>
    <t>Función maneja respuesta malformada sin crash; 3 reintentos antes de declarar fallo; loggea correctamente</t>
  </si>
  <si>
    <t>4.1.3</t>
  </si>
  <si>
    <t>Definir y documentar el umbral de confianza: qué valor del campo de confianza activa el fallback</t>
  </si>
  <si>
    <t>Umbral documentado en decision log; probado contra el conjunto representativo de consultas antes de fijarlo</t>
  </si>
  <si>
    <t>Total Feature 4.1</t>
  </si>
  <si>
    <t>Feature 4.2 — Lógica de fallback y conjunto de validación</t>
  </si>
  <si>
    <t>4.2.1</t>
  </si>
  <si>
    <t>Implementar rama de fallback: cuando confianza &lt; umbral, generar pregunta de clarificación; no llamar M1/M2</t>
  </si>
  <si>
    <t>Ninguna consulta fuera del alcance devuelve resultados genéricos; siempre devuelve una pregunta de clarificación</t>
  </si>
  <si>
    <t>4.2.2</t>
  </si>
  <si>
    <t>Construir conjunto representativo de consultas de prueba: mínimo 10 válidas + 5 fuera de alcance + 5 ambiguas</t>
  </si>
  <si>
    <t>Conjunto documentado con el resultado esperado para cada consulta; usado tanto en validación de M3 como en el ensayo de demo</t>
  </si>
  <si>
    <t>4.2.3</t>
  </si>
  <si>
    <t>Calcular tasa de éxito y tasa de fallback sobre el conjunto representativo; documentar</t>
  </si>
  <si>
    <t>Tabla de resultados generada: % consultas correctamente resueltas, % derivadas a fallback, % fallidas</t>
  </si>
  <si>
    <t>Total Feature 4.2</t>
  </si>
  <si>
    <t>Feature 4.3 — Endpoint de orquestación</t>
  </si>
  <si>
    <t>4.3.1</t>
  </si>
  <si>
    <t>Implementar endpoint POST /search/nlp que orquesta el pipeline completo: NLP → M1 → M2 → ensamblado</t>
  </si>
  <si>
    <t>Endpoint funcional para el conjunto representativo de consultas; responde con resultados ensamblados de M1 y M2</t>
  </si>
  <si>
    <t>4.1.2, 2.2.5, 3.1.5, 4.2.1</t>
  </si>
  <si>
    <t>4.3.2</t>
  </si>
  <si>
    <t>Implementar endpoint POST /search/filtros (búsqueda estructurada sin NLP, para la barra de filtros del frontend)</t>
  </si>
  <si>
    <t>Filtros de precio, tipo y habitaciones funcionan correctamente; resultados consistentes con los parámetros enviados</t>
  </si>
  <si>
    <t>1.1.3, 1.5.1</t>
  </si>
  <si>
    <t>4.3.3</t>
  </si>
  <si>
    <t>Medir y documentar tiempo de respuesta end-to-end del endpoint NLP (objetivo ≤5s, SRS-024)</t>
  </si>
  <si>
    <t>Medición realizada con al menos 10 consultas de prueba; promedio documentado; si supera 5s, se abre issue con causa identificada</t>
  </si>
  <si>
    <t>Total Feature 4.3</t>
  </si>
  <si>
    <t>Story Points totales: 51   |   4 ingenieros — 23 días disponibles</t>
  </si>
  <si>
    <t>Feature 5.1 — Pantalla Home / Índice</t>
  </si>
  <si>
    <t>5.1.1</t>
  </si>
  <si>
    <t>Implementar layout base: header (sin cuenta de usuario) + hero + secciones inferiores</t>
  </si>
  <si>
    <t>Layout renderiza en 1280px y 1920px sin desbordamiento; paleta negro/gris/blanco</t>
  </si>
  <si>
    <t>5.1.2</t>
  </si>
  <si>
    <t>Implementar fondo de mapa en gradiente de grises en el hero (MapLibre, solo visual, sin interacción)</t>
  </si>
  <si>
    <t>Mapa centrado en Ciudad de Panamá; no tiene controles de zoom/pan en el hero; no agrega peticiones innecesarias</t>
  </si>
  <si>
    <t>5.1.3</t>
  </si>
  <si>
    <t>Implementar barra de búsqueda NLP: campo de texto + botón; al enviar navega a Resultados con la consulta como query param</t>
  </si>
  <si>
    <t>Envío funciona con Enter y con clic; consulta llega como parámetro a la pantalla de Resultados</t>
  </si>
  <si>
    <t>5.1.4</t>
  </si>
  <si>
    <t>Implementar sección de estadísticas reales: número de propiedades, corregimientos cubiertos, % real vs. sintético (conectada a DB, no estática)</t>
  </si>
  <si>
    <t>Cifras se leen de la DB en build time o en llamada inicial; no son placeholders hardcodeados</t>
  </si>
  <si>
    <t>5.1.1, 1.2.7</t>
  </si>
  <si>
    <t>5.1.5</t>
  </si>
  <si>
    <t>Implementar sección de equipo: 4 tarjetas con nombre, rol, universidad/curso</t>
  </si>
  <si>
    <t>Los 4 integrantes están representados; sección estática</t>
  </si>
  <si>
    <t>Total Feature 5.1</t>
  </si>
  <si>
    <t>Feature 5.2 — Pantalla de Resultados</t>
  </si>
  <si>
    <t>5.2.1</t>
  </si>
  <si>
    <t>Implementar layout lista + mapa lado a lado (referencia Flatstep); columna izquierda scrollable, columna derecha fija</t>
  </si>
  <si>
    <t>Layout estable en 1280px; columnas no colapsan ni se superponen</t>
  </si>
  <si>
    <t>5.2.2</t>
  </si>
  <si>
    <t>Implementar barra de filtros estructurados (tipo, precio, habitaciones); cada cambio dispara llamada a POST /search/filtros y actualiza la lista sin recargar</t>
  </si>
  <si>
    <t>Filtros funcionales end-to-end; sin recarga de página al cambiar filtros</t>
  </si>
  <si>
    <t>5.2.1, 4.3.2</t>
  </si>
  <si>
    <t>5.2.3</t>
  </si>
  <si>
    <t>Implementar tarjeta de propiedad con score de compatibilidad (0–100) y badge de semáforo (color + texto + ícono) visibles sin clic adicional</t>
  </si>
  <si>
    <t>Score y badge visibles en la tarjeta lista; badge tiene texto e ícono, no solo color (SRS-035)</t>
  </si>
  <si>
    <t>5.2.1, 4.3.1, 3.1.5</t>
  </si>
  <si>
    <t>5.2.4</t>
  </si>
  <si>
    <t>Implementar vista ver por qué: desglose de criterios del score, accesible con un clic desde la tarjeta</t>
  </si>
  <si>
    <t>Panel se abre en ≤ 1 clic; muestra al menos 4 criterios con estado cumplido/no cumplido</t>
  </si>
  <si>
    <t>5.2.3, 2.2.4</t>
  </si>
  <si>
    <t>5.2.5</t>
  </si>
  <si>
    <t>Integrar MapLibre con pines de propiedades; hover en tarjeta resalta el pin correspondiente (y viceversa)</t>
  </si>
  <si>
    <t>Sincronización bidireccional funciona sin lag perceptible; pines renderizan correctamente para el volumen del catálogo</t>
  </si>
  <si>
    <t>5.2.6</t>
  </si>
  <si>
    <t>Implementar control de capas del Zone Health Index: 6 toggles independientes (uno por dimensión)</t>
  </si>
  <si>
    <t>Cada dimensión se activa/desactiva de forma independiente; las capas se cargan desde el endpoint /zone-health/{corregimiento}</t>
  </si>
  <si>
    <t>5.2.5, 1.4.6</t>
  </si>
  <si>
    <t>5.2.7</t>
  </si>
  <si>
    <t>Implementar estado de fallback NLP: pregunta de clarificación visible en vez de lista vacía sin explicación</t>
  </si>
  <si>
    <t>Cuando el backend devuelve clarificación, la UI lo muestra como una pregunta, no como 0 resultados</t>
  </si>
  <si>
    <t>5.2.1, 4.2.1</t>
  </si>
  <si>
    <t>5.2.8</t>
  </si>
  <si>
    <t>Implementar estado de lista vacía: mensaje claro cuando no hay resultados para los filtros actuales</t>
  </si>
  <si>
    <t>Mensaje visible y específico (no espacio en blanco); sugiere ampliar los filtros</t>
  </si>
  <si>
    <t>Total Feature 5.2</t>
  </si>
  <si>
    <t>Feature 5.3 — Pantalla de Detalle de Propiedad</t>
  </si>
  <si>
    <t>5.3.1</t>
  </si>
  <si>
    <t>Implementar layout: galería + descripción + 4 tarjetas de algoritmos + mapa de servicios cercanos</t>
  </si>
  <si>
    <t>Layout estable; las 4 tarjetas son visibles en la misma vista sin tabs ni scroll excesivo</t>
  </si>
  <si>
    <t>5.3.2</t>
  </si>
  <si>
    <t>Implementar tarjeta semáforo de precio: etiqueta + desviación % + color + texto + ícono</t>
  </si>
  <si>
    <t>Badge no depende solo del color (SRS-035); desviación % visible; consume endpoint /valuation/semaforo/{id}</t>
  </si>
  <si>
    <t>5.3.1, 3.1.5</t>
  </si>
  <si>
    <t>5.3.3</t>
  </si>
  <si>
    <t>Implementar tarjeta de segmento de mercado: nombre del cluster en lenguaje natural</t>
  </si>
  <si>
    <t>Etiqueta descriptiva visible (no Cluster 3); consume campo segmento_cluster de scores_valuacion</t>
  </si>
  <si>
    <t>5.3.1, 3.2.4</t>
  </si>
  <si>
    <t>5.3.4</t>
  </si>
  <si>
    <t>Implementar tarjeta de confiabilidad del anuncio: 4 dimensiones del Quality Scorer; etiquetada como confiabilidad del dato, no como valuación; estado no evaluable si descripción insuficiente</t>
  </si>
  <si>
    <t>Desglose de 4 dimensiones visible; el caso no evaluable tiene mensaje claro y no muestra un score inventado</t>
  </si>
  <si>
    <t>5.3.1, 3.4.3</t>
  </si>
  <si>
    <t>5.3.5</t>
  </si>
  <si>
    <t>Implementar tarjeta de transparencia del modelo: gráfico de dispersión predicho vs. real + MAE visible</t>
  </si>
  <si>
    <t>Gráfico renderiza con datos reales del endpoint /valuation/transparencia; MAE coincide con el calculado en 3.1.4</t>
  </si>
  <si>
    <t>5.3.1, 3.5.2</t>
  </si>
  <si>
    <t>5.3.6</t>
  </si>
  <si>
    <t>Implementar mapa de servicios cercanos: amenidades del corregimiento en MapLibre; consume /zone-health/{corregimiento}</t>
  </si>
  <si>
    <t>Amenidades correctas para el corregimiento de la propiedad; al menos 3 categorías visibles</t>
  </si>
  <si>
    <t>5.3.1, 1.4.6</t>
  </si>
  <si>
    <t>5.3.7</t>
  </si>
  <si>
    <t>Implementar botón de acción con texto exacto Contactar anunciante (no Purchase, no Comprar)</t>
  </si>
  <si>
    <t>Texto es Contactar anunciante; comportamiento mínimo: copia el número/email del anunciante al clipboard o muestra los datos de contacto</t>
  </si>
  <si>
    <t>Total Feature 5.3</t>
  </si>
  <si>
    <t>Story Points totales: 48   |   4 ingenieros — 23 días disponibles</t>
  </si>
  <si>
    <t>Feature 6.1 — Paper académico (IEEE, máx. 12 páginas)</t>
  </si>
  <si>
    <t>6.1.1</t>
  </si>
  <si>
    <t>Redactar introducción y planteamiento del problema (asimetría de información inmobiliaria en Panamá; justificación local/internacional)</t>
  </si>
  <si>
    <t>Sección redactada; problemática argumentada con al menos 1 referencia local y 1 internacional, por requisito del documento del curso</t>
  </si>
  <si>
    <t>6.1.2</t>
  </si>
  <si>
    <t>Redactar trabajos relacionados con discusión comparativa (plataformas LATAM — Properati, Goplaceit, HOMIE — + estado del arte de retrieval semántico, condensado a formato paper)</t>
  </si>
  <si>
    <t>Sección discute resultados/enfoques de trabajos relacionados, no solo los describe; cumple el requisito explícito del documento del curso de "discutir resultados de acuerdo a trabajos relacionados"</t>
  </si>
  <si>
    <t>6.1.3</t>
  </si>
  <si>
    <t>Redactar metodología: arquitectura M1/M2/M3, pipeline de datos, técnica aplicada</t>
  </si>
  <si>
    <t>Sección resume la arquitectura sin reproducir el SAD completo; nivel de detalle apropiado para 12 páginas</t>
  </si>
  <si>
    <t>6.1.4</t>
  </si>
  <si>
    <t>Redactar resultados integrando figuras/tablas seleccionadas de los notebooks (Precision@k, MAE, Silhouette, tasa de éxito M3)</t>
  </si>
  <si>
    <t>Cada figura/tabla citada existe en un notebook cerrado de Feature 6.2; ninguna cifra se redacta sin trazabilidad al notebook fuente</t>
  </si>
  <si>
    <t>6.2.3–6.2.7</t>
  </si>
  <si>
    <t>6.1.5</t>
  </si>
  <si>
    <t>Redactar discusión: hipótesis vs. resultados empíricos</t>
  </si>
  <si>
    <t>Sección responde explícitamente si la hipótesis se confirmó, se rechazó, o los datos son insuficientes para concluir</t>
  </si>
  <si>
    <t>6.1.6</t>
  </si>
  <si>
    <t>Redactar limitaciones consolidadas (validación circular de M1, exclusión KNN/KMeans en Pedregal/Lefevre, anomalías de auditoría en Zone Health, cobertura GTFS 2016, n=20 en encuesta)</t>
  </si>
  <si>
    <t>Cumple el requisito explícito del documento del curso de "presentar las limitaciones de su estudio"; consolidada en una sola sección, no dispersa</t>
  </si>
  <si>
    <t>6.1.7</t>
  </si>
  <si>
    <t>Redactar conclusiones y trabajo futuro</t>
  </si>
  <si>
    <t>Conclusiones claras (requisito explícito del documento del curso); conectadas a los OE-01 a OE-05</t>
  </si>
  <si>
    <t>6.1.8</t>
  </si>
  <si>
    <t>Formatear en plantilla IEOM/IEEE + consolidar referencias en Mendeley/Zotero</t>
  </si>
  <si>
    <t>Documento cumple plantilla IEOM Society Panamá 2026; todas las referencias gestionadas en Mendeley/Zotero, formato IEEE, con fecha de consulta en fuentes web</t>
  </si>
  <si>
    <t>6.1.1–6.1.7</t>
  </si>
  <si>
    <t>Total Feature 6.1</t>
  </si>
  <si>
    <t>Feature 6.2 — Notebooks de análisis y entrenamiento</t>
  </si>
  <si>
    <t>6.2.1</t>
  </si>
  <si>
    <t>Notebook 0 — EDA general del catálogo residencial (retrofit desde hallazgos ya documentados en Acta 1.2)</t>
  </si>
  <si>
    <t>Notebook ejecuta sin errores; reproduce con código+gráfico los hallazgos ya narrados en Acta 1.2 (contaminación de tipo, reconciliación de volumen real 34%); exporta dataset limpio consumido por 6.2.3–6.2.5</t>
  </si>
  <si>
    <t>6.2.2</t>
  </si>
  <si>
    <t>Notebook 0B — Zone Health Composite Index: EDA + feature engineering + anomalías (retrofit desde Acta 1.4)</t>
  </si>
  <si>
    <t>Notebook reproduce pesos, normalización y composite de Acta 1.4; incluye la sección de anomalías de 1.4.7 (Betania/Bella Vista) como storytelling explícito, no omitida</t>
  </si>
  <si>
    <t>6.2.3</t>
  </si>
  <si>
    <t>Notebook 1 — M1: embeddings + hybrid scorer + Precision@k</t>
  </si>
  <si>
    <t>Notebook entrena y calibra el scorer 0.6/0.4; Precision@k documentado con advertencia explícita de validación circular; exporta artefacto que consume 2.2.3</t>
  </si>
  <si>
    <t>6.2.1, 1.5.1</t>
  </si>
  <si>
    <t>6.2.4</t>
  </si>
  <si>
    <t>Notebook 2 — M2: KNN semáforo de precio + Random Forest (comparación metodológica, mismo dataset/split/CV)</t>
  </si>
  <si>
    <t>Notebook entrena KNN y RF sobre el mismo split; MAE ± std por zona para ambos modelos; exporta .pkl que consumen 3.1.2 y 3.3.1 — no se re-entrena en el backend</t>
  </si>
  <si>
    <t>6.2.5</t>
  </si>
  <si>
    <t>Notebook 3 — M2: KMeans segmentación de mercado</t>
  </si>
  <si>
    <t>Notebook entrena KMeans k=5, calcula Silhouette (documentado aunque sea bajo), etiqueta cualitativa de clusters; exporta .pkl que consume 3.2.2</t>
  </si>
  <si>
    <t>6.2.6</t>
  </si>
  <si>
    <t>Notebook 4 — M2: Quality Scorer (experimento de iteración de prompt + evaluación cuantitativa)</t>
  </si>
  <si>
    <t>Notebook documenta versiones del system prompt, % de JSON parseado correctamente, distribución de quality_score sobre muestra; no reporta MAE/Silhouette (no aplica a un componente sin entrenamiento)</t>
  </si>
  <si>
    <t>6.2.7</t>
  </si>
  <si>
    <t>Notebook 5 — M3: NLP Orchestration (experimento de extracción de intención + umbral de confianza + fallback)</t>
  </si>
  <si>
    <t>Notebook documenta tasa de éxito/fallback sobre el conjunto representativo (mínimo 10 válidas + 5 fuera de alcance + 5 ambiguas de 4.2.2); mismo formato de experimento que 6.2.6</t>
  </si>
  <si>
    <t>Total Feature 6.2</t>
  </si>
  <si>
    <t>Feature 6.3 — Documentación técnica del repositorio</t>
  </si>
  <si>
    <t>6.3.1</t>
  </si>
  <si>
    <t>README por carpeta (pipeline/backend/frontend): setup, cómo correr, estructura</t>
  </si>
  <si>
    <t>Cada carpeta principal tiene README con instrucciones verificadas por un integrante distinto al autor</t>
  </si>
  <si>
    <t>6.3.2</t>
  </si>
  <si>
    <t>Tabla de indicadores de mejora: antes/después cuantificado de correcciones reales del proyecto (scraper Selenium→Playwright, contaminación por homónimos 31%→0%, 7 rondas de corrección en Zone Health, volumen real vs. proyectado)</t>
  </si>
  <si>
    <t>Tabla demuestra mediante indicadores numéricos las mejoras hechas, por el requisito explícito de Besto; cada indicador cita la Acta donde se originó el hallazgo</t>
  </si>
  <si>
    <t>6.3.3</t>
  </si>
  <si>
    <t>Docstrings en funciones core del pipeline (normalización, scoring, orquestación)</t>
  </si>
  <si>
    <t>Funciones en pipeline/zone_health/ y pipeline/scraper/ tienen docstring con propósito, inputs, outputs</t>
  </si>
  <si>
    <t>6.3.4</t>
  </si>
  <si>
    <t>Changelog/decision log consolidado enlazando a las Actas ya existentes</t>
  </si>
  <si>
    <t>Documento único indexa cronológicamente las decisiones ya documentadas en las Actas de Feature 1.1–1.4, sin duplicar su contenido</t>
  </si>
  <si>
    <t>Total Feature 6.3</t>
  </si>
  <si>
    <t>Story Points totales: 17   |   4 ingenieros — 23 días disponibles</t>
  </si>
  <si>
    <t>Feature 7.1 — Testing de backend</t>
  </si>
  <si>
    <t>7.1.1</t>
  </si>
  <si>
    <t>Tests unitarios de los 6 endpoints principales (SRS-001, 005, 008, 014, 017, 021)</t>
  </si>
  <si>
    <t>Cobertura de al menos 1 test happy-path + 1 test de error por endpoint; todos pasan en CI</t>
  </si>
  <si>
    <t>Épicas 2, 3, 4</t>
  </si>
  <si>
    <t>7.1.2</t>
  </si>
  <si>
    <t>Test de integración: pipeline NLP completo (consulta → M1 → M2 → respuesta) sobre el conjunto representativo</t>
  </si>
  <si>
    <t>Los 10 casos válidos del conjunto devuelven resultados coherentes; los 5 casos fuera de alcance devuelven clarificación</t>
  </si>
  <si>
    <t>7.1.3</t>
  </si>
  <si>
    <t>Prueba de rendimiento end-to-end: tiempo de respuesta del pipeline NLP (objetivo ≤5s)</t>
  </si>
  <si>
    <t>Promedio de 10 corridas documentado; si supera 5s, causa identificada y registrada (no simplemente ignorada)</t>
  </si>
  <si>
    <t>Total Feature 7.1</t>
  </si>
  <si>
    <t>Feature 7.2 — Testing de datos</t>
  </si>
  <si>
    <t>7.2.1</t>
  </si>
  <si>
    <t>Verificar que conjunto_referencia_m1 nunca se mezcla con el catálogo real en ninguna query de producción</t>
  </si>
  <si>
    <t>Revisión de código confirma que las queries de M1 excluyen el conjunto de referencia; flag_sintetico no aparece en resultados de usuario</t>
  </si>
  <si>
    <t>7.2.2</t>
  </si>
  <si>
    <t>Auditoría de PII en datos scrapeados: confirmar que no hay datos de contacto del anunciante más allá de lo públicamente visible (SRS-026)</t>
  </si>
  <si>
    <t>Revisión de todos los campos de propiedades; ningún campo almacena teléfono, email u otra PII no pública</t>
  </si>
  <si>
    <t>7.2.3</t>
  </si>
  <si>
    <t>Verificar cobertura real de los 8 corregimientos en el catálogo final</t>
  </si>
  <si>
    <t>Query de conteo devuelve al menos el piso Tier-1 para cada uno de los 8 corregimientos</t>
  </si>
  <si>
    <t>Total Feature 7.2</t>
  </si>
  <si>
    <t>Feature 7.3 — Testing de frontend</t>
  </si>
  <si>
    <t>7.3.1</t>
  </si>
  <si>
    <t>Verificar que el badge de semáforo tiene texto + ícono, no solo color (SRS-035)</t>
  </si>
  <si>
    <t>Revisión visual confirma que el badge es legible sin percibir el color</t>
  </si>
  <si>
    <t>5.3.2, 5.2.3</t>
  </si>
  <si>
    <t>7.3.2</t>
  </si>
  <si>
    <t>Verificar que las 4 tarjetas de algoritmos son visibles en Detalle sin tabs ni scroll lateral excesivo</t>
  </si>
  <si>
    <t>Las 4 tarjetas visibles en resolución 1280px sin interacción adicional</t>
  </si>
  <si>
    <t>5.3.1–5.3.5</t>
  </si>
  <si>
    <t>7.3.3</t>
  </si>
  <si>
    <t>Verificar que el botón de acción dice exactamente Contactar anunciante</t>
  </si>
  <si>
    <t>Texto verificado; ninguna otra variante del texto en ningún estado</t>
  </si>
  <si>
    <t>7.3.4</t>
  </si>
  <si>
    <t>Verificar sincronización bidireccional lista ↔ mapa (hover en tarjeta resalta pin, y viceversa)</t>
  </si>
  <si>
    <t>Sincronización funciona sin lag perceptible en el catálogo completo</t>
  </si>
  <si>
    <t>Total Feature 7.3</t>
  </si>
  <si>
    <t>Feature 8.1 — Deploy de producción</t>
  </si>
  <si>
    <t>8.1.1</t>
  </si>
  <si>
    <t>Deploy backend FastAPI en Railway con variables de entorno de producción</t>
  </si>
  <si>
    <t>URL pública de Railway responde a GET /health con 200; logs de Railway sin errores de arranque</t>
  </si>
  <si>
    <t>1.1.5, Épicas 2–4</t>
  </si>
  <si>
    <t>8.1.2</t>
  </si>
  <si>
    <t>Deploy frontend Next.js en Vercel apuntando al backend de Railway</t>
  </si>
  <si>
    <t>URL pública de Vercel carga la pantalla Home sin errores de consola; CORS configurado correctamente</t>
  </si>
  <si>
    <t>1.1.5, Épica 5</t>
  </si>
  <si>
    <t>8.1.3</t>
  </si>
  <si>
    <t>Prueba de carga y validación de uptime ≥99% en el período de la demo (SRS-028)</t>
  </si>
  <si>
    <t>Prueba de carga ejecutada con al menos 20 requests concurrentes; uptime medido durante 24h previas a la defensa</t>
  </si>
  <si>
    <t>8.1.1, 8.1.2</t>
  </si>
  <si>
    <t>Total Feature 8.1</t>
  </si>
  <si>
    <t>Feature 8.2 — Preparación de la demo</t>
  </si>
  <si>
    <t>8.2.1</t>
  </si>
  <si>
    <t>Definir guión de demo: flujo exacto de 3 a 5 interacciones que demuestran M1, M2 y M3 ante el jurado</t>
  </si>
  <si>
    <t>Guión escrito con cada clic documentado; tiempo estimado de la demo ≤ 10 minutos</t>
  </si>
  <si>
    <t>8.2.2</t>
  </si>
  <si>
    <t>Seleccionar y cachear las consultas de la demo (pre-computadas; no improvisar ante el jurado)</t>
  </si>
  <si>
    <t>Al menos 3 consultas NLP de demo con sus respuestas almacenadas en caché; fallback a respuesta cacheada si Gemini falla en vivo</t>
  </si>
  <si>
    <t>8.2.1, 4.3.1</t>
  </si>
  <si>
    <t>8.2.3</t>
  </si>
  <si>
    <t>Ensayo completo de la demo con todo el equipo (mínimo 2 run-throughs)</t>
  </si>
  <si>
    <t>2 corridas completas ejecutadas sin errores bloqueantes; todos los integrantes conocen el guión</t>
  </si>
  <si>
    <t>8.2.4</t>
  </si>
  <si>
    <t>Preparar fallback offline: capturas de pantalla + video del sistema funcionando (por si falla la conexión el día de la defensa)</t>
  </si>
  <si>
    <t>Video de ~5 minutos mostrando el flujo completo de la demo; disponible localmente sin depender de internet</t>
  </si>
  <si>
    <t>Total Feature 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</si>
</sst>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1F2937"/>
      <name val="Arial"/>
      <family val="2"/>
      <charset val="1"/>
    </font>
    <font>
      <i/>
      <sz val="9"/>
      <color rgb="FF6B728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1F2937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BEAFE"/>
      </patternFill>
    </fill>
    <fill>
      <patternFill patternType="solid">
        <fgColor rgb="FFDBEAFE"/>
        <bgColor rgb="FFE5E7E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/>
    <xf numFmtId="0" fontId="0" fillId="3" borderId="1" xfId="0" applyFill="1" applyBorder="1"/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6" fillId="4" borderId="0" xfId="0" applyFont="1" applyFill="1"/>
    <xf numFmtId="0" fontId="6" fillId="4" borderId="2" xfId="0" applyFont="1" applyFill="1" applyBorder="1"/>
  </cellXfs>
  <cellStyles count="1">
    <cellStyle name="Normal" xfId="0" builtinId="0"/>
  </cellStyles>
  <dxfs count="45">
    <dxf>
      <font>
        <b/>
        <sz val="10"/>
        <name val="Arial"/>
        <charset val="1"/>
      </font>
      <fill>
        <patternFill>
          <bgColor rgb="FFBBF7D0"/>
        </patternFill>
      </fill>
    </dxf>
    <dxf>
      <font>
        <sz val="10"/>
        <name val="Arial"/>
        <charset val="1"/>
      </font>
      <fill>
        <patternFill>
          <bgColor rgb="FFBFDBFE"/>
        </patternFill>
      </fill>
    </dxf>
    <dxf>
      <font>
        <b/>
        <sz val="10"/>
        <name val="Arial"/>
        <charset val="1"/>
      </font>
      <fill>
        <patternFill>
          <bgColor rgb="FFFECACA"/>
        </patternFill>
      </fill>
    </dxf>
    <dxf>
      <font>
        <sz val="10"/>
        <name val="Arial"/>
        <charset val="1"/>
      </font>
      <fill>
        <patternFill>
          <bgColor rgb="FFFEF3C7"/>
        </patternFill>
      </fill>
    </dxf>
    <dxf>
      <font>
        <sz val="10"/>
        <name val="Arial"/>
        <charset val="1"/>
      </font>
      <fill>
        <patternFill>
          <bgColor rgb="FFF3F4F6"/>
        </patternFill>
      </fill>
    </dxf>
    <dxf>
      <font>
        <b/>
        <sz val="10"/>
        <name val="Arial"/>
        <charset val="1"/>
      </font>
      <fill>
        <patternFill>
          <bgColor rgb="FFBBF7D0"/>
        </patternFill>
      </fill>
    </dxf>
    <dxf>
      <font>
        <sz val="10"/>
        <name val="Arial"/>
        <charset val="1"/>
      </font>
      <fill>
        <patternFill>
          <bgColor rgb="FFBFDBFE"/>
        </patternFill>
      </fill>
    </dxf>
    <dxf>
      <font>
        <b/>
        <sz val="10"/>
        <name val="Arial"/>
        <charset val="1"/>
      </font>
      <fill>
        <patternFill>
          <bgColor rgb="FFFECACA"/>
        </patternFill>
      </fill>
    </dxf>
    <dxf>
      <font>
        <sz val="10"/>
        <name val="Arial"/>
        <charset val="1"/>
      </font>
      <fill>
        <patternFill>
          <bgColor rgb="FFFEF3C7"/>
        </patternFill>
      </fill>
    </dxf>
    <dxf>
      <font>
        <sz val="10"/>
        <name val="Arial"/>
        <charset val="1"/>
      </font>
      <fill>
        <patternFill>
          <bgColor rgb="FFF3F4F6"/>
        </patternFill>
      </fill>
    </dxf>
    <dxf>
      <font>
        <sz val="10"/>
        <name val="Arial"/>
        <charset val="1"/>
      </font>
      <fill>
        <patternFill>
          <bgColor rgb="FFFEF3C7"/>
        </patternFill>
      </fill>
    </dxf>
    <dxf>
      <font>
        <b/>
        <sz val="10"/>
        <name val="Arial"/>
        <charset val="1"/>
      </font>
      <fill>
        <patternFill>
          <bgColor rgb="FFFECACA"/>
        </patternFill>
      </fill>
    </dxf>
    <dxf>
      <font>
        <sz val="10"/>
        <name val="Arial"/>
        <charset val="1"/>
      </font>
      <fill>
        <patternFill>
          <bgColor rgb="FFBFDBFE"/>
        </patternFill>
      </fill>
    </dxf>
    <dxf>
      <font>
        <b/>
        <sz val="10"/>
        <name val="Arial"/>
        <charset val="1"/>
      </font>
      <fill>
        <patternFill>
          <bgColor rgb="FFBBF7D0"/>
        </patternFill>
      </fill>
    </dxf>
    <dxf>
      <font>
        <sz val="10"/>
        <name val="Arial"/>
        <charset val="1"/>
      </font>
      <fill>
        <patternFill>
          <bgColor rgb="FFF3F4F6"/>
        </patternFill>
      </fill>
    </dxf>
    <dxf>
      <font>
        <sz val="10"/>
        <name val="Arial"/>
        <charset val="1"/>
      </font>
      <fill>
        <patternFill>
          <bgColor rgb="FFF3F4F6"/>
        </patternFill>
      </fill>
    </dxf>
    <dxf>
      <font>
        <sz val="10"/>
        <name val="Arial"/>
        <charset val="1"/>
      </font>
      <fill>
        <patternFill>
          <bgColor rgb="FFFEF3C7"/>
        </patternFill>
      </fill>
    </dxf>
    <dxf>
      <font>
        <b/>
        <sz val="10"/>
        <name val="Arial"/>
        <charset val="1"/>
      </font>
      <fill>
        <patternFill>
          <bgColor rgb="FFFECACA"/>
        </patternFill>
      </fill>
    </dxf>
    <dxf>
      <font>
        <sz val="10"/>
        <name val="Arial"/>
        <charset val="1"/>
      </font>
      <fill>
        <patternFill>
          <bgColor rgb="FFBFDBFE"/>
        </patternFill>
      </fill>
    </dxf>
    <dxf>
      <font>
        <b/>
        <sz val="10"/>
        <name val="Arial"/>
        <charset val="1"/>
      </font>
      <fill>
        <patternFill>
          <bgColor rgb="FFBBF7D0"/>
        </patternFill>
      </fill>
    </dxf>
    <dxf>
      <font>
        <b/>
        <sz val="10"/>
        <name val="Arial"/>
        <charset val="1"/>
      </font>
      <fill>
        <patternFill>
          <bgColor rgb="FFBBF7D0"/>
        </patternFill>
      </fill>
    </dxf>
    <dxf>
      <font>
        <sz val="10"/>
        <name val="Arial"/>
        <charset val="1"/>
      </font>
      <fill>
        <patternFill>
          <bgColor rgb="FFBFDBFE"/>
        </patternFill>
      </fill>
    </dxf>
    <dxf>
      <font>
        <b/>
        <sz val="10"/>
        <name val="Arial"/>
        <charset val="1"/>
      </font>
      <fill>
        <patternFill>
          <bgColor rgb="FFFECACA"/>
        </patternFill>
      </fill>
    </dxf>
    <dxf>
      <font>
        <sz val="10"/>
        <name val="Arial"/>
        <charset val="1"/>
      </font>
      <fill>
        <patternFill>
          <bgColor rgb="FFFEF3C7"/>
        </patternFill>
      </fill>
    </dxf>
    <dxf>
      <font>
        <sz val="10"/>
        <name val="Arial"/>
        <charset val="1"/>
      </font>
      <fill>
        <patternFill>
          <bgColor rgb="FFF3F4F6"/>
        </patternFill>
      </fill>
    </dxf>
    <dxf>
      <font>
        <b/>
        <sz val="10"/>
        <name val="Arial"/>
        <charset val="1"/>
      </font>
      <fill>
        <patternFill>
          <bgColor rgb="FFBBF7D0"/>
        </patternFill>
      </fill>
    </dxf>
    <dxf>
      <font>
        <sz val="10"/>
        <name val="Arial"/>
        <charset val="1"/>
      </font>
      <fill>
        <patternFill>
          <bgColor rgb="FFBFDBFE"/>
        </patternFill>
      </fill>
    </dxf>
    <dxf>
      <font>
        <b/>
        <sz val="10"/>
        <name val="Arial"/>
        <charset val="1"/>
      </font>
      <fill>
        <patternFill>
          <bgColor rgb="FFFECACA"/>
        </patternFill>
      </fill>
    </dxf>
    <dxf>
      <font>
        <sz val="10"/>
        <name val="Arial"/>
        <charset val="1"/>
      </font>
      <fill>
        <patternFill>
          <bgColor rgb="FFFEF3C7"/>
        </patternFill>
      </fill>
    </dxf>
    <dxf>
      <font>
        <sz val="10"/>
        <name val="Arial"/>
        <charset val="1"/>
      </font>
      <fill>
        <patternFill>
          <bgColor rgb="FFF3F4F6"/>
        </patternFill>
      </fill>
    </dxf>
    <dxf>
      <font>
        <b/>
        <sz val="10"/>
        <name val="Arial"/>
        <charset val="1"/>
      </font>
      <fill>
        <patternFill>
          <bgColor rgb="FFBBF7D0"/>
        </patternFill>
      </fill>
    </dxf>
    <dxf>
      <font>
        <sz val="10"/>
        <name val="Arial"/>
        <charset val="1"/>
      </font>
      <fill>
        <patternFill>
          <bgColor rgb="FFBFDBFE"/>
        </patternFill>
      </fill>
    </dxf>
    <dxf>
      <font>
        <b/>
        <sz val="10"/>
        <name val="Arial"/>
        <charset val="1"/>
      </font>
      <fill>
        <patternFill>
          <bgColor rgb="FFFECACA"/>
        </patternFill>
      </fill>
    </dxf>
    <dxf>
      <font>
        <sz val="10"/>
        <name val="Arial"/>
        <charset val="1"/>
      </font>
      <fill>
        <patternFill>
          <bgColor rgb="FFFEF3C7"/>
        </patternFill>
      </fill>
    </dxf>
    <dxf>
      <font>
        <sz val="10"/>
        <name val="Arial"/>
        <charset val="1"/>
      </font>
      <fill>
        <patternFill>
          <bgColor rgb="FFF3F4F6"/>
        </patternFill>
      </fill>
    </dxf>
    <dxf>
      <font>
        <b/>
        <sz val="10"/>
        <name val="Arial"/>
        <charset val="1"/>
      </font>
      <fill>
        <patternFill>
          <bgColor rgb="FFBBF7D0"/>
        </patternFill>
      </fill>
    </dxf>
    <dxf>
      <font>
        <sz val="10"/>
        <name val="Arial"/>
        <charset val="1"/>
      </font>
      <fill>
        <patternFill>
          <bgColor rgb="FFBFDBFE"/>
        </patternFill>
      </fill>
    </dxf>
    <dxf>
      <font>
        <b/>
        <sz val="10"/>
        <name val="Arial"/>
        <charset val="1"/>
      </font>
      <fill>
        <patternFill>
          <bgColor rgb="FFFECACA"/>
        </patternFill>
      </fill>
    </dxf>
    <dxf>
      <font>
        <sz val="10"/>
        <name val="Arial"/>
        <charset val="1"/>
      </font>
      <fill>
        <patternFill>
          <bgColor rgb="FFFEF3C7"/>
        </patternFill>
      </fill>
    </dxf>
    <dxf>
      <font>
        <sz val="10"/>
        <name val="Arial"/>
        <charset val="1"/>
      </font>
      <fill>
        <patternFill>
          <bgColor rgb="FFF3F4F6"/>
        </patternFill>
      </fill>
    </dxf>
    <dxf>
      <font>
        <b/>
        <sz val="10"/>
        <name val="Arial"/>
        <charset val="1"/>
      </font>
      <fill>
        <patternFill>
          <bgColor rgb="FFBBF7D0"/>
        </patternFill>
      </fill>
    </dxf>
    <dxf>
      <font>
        <sz val="10"/>
        <name val="Arial"/>
        <charset val="1"/>
      </font>
      <fill>
        <patternFill>
          <bgColor rgb="FFBFDBFE"/>
        </patternFill>
      </fill>
    </dxf>
    <dxf>
      <font>
        <b/>
        <sz val="10"/>
        <name val="Arial"/>
        <charset val="1"/>
      </font>
      <fill>
        <patternFill>
          <bgColor rgb="FFFECACA"/>
        </patternFill>
      </fill>
    </dxf>
    <dxf>
      <font>
        <sz val="10"/>
        <name val="Arial"/>
        <charset val="1"/>
      </font>
      <fill>
        <patternFill>
          <bgColor rgb="FFFEF3C7"/>
        </patternFill>
      </fill>
    </dxf>
    <dxf>
      <font>
        <sz val="10"/>
        <name val="Arial"/>
        <charset val="1"/>
      </font>
      <fill>
        <patternFill>
          <bgColor rgb="FFF3F4F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BBF7D0"/>
      <rgbColor rgb="FFE5E7EB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/>
  </sheetViews>
  <sheetFormatPr baseColWidth="10" defaultColWidth="8.6640625" defaultRowHeight="15" x14ac:dyDescent="0.2"/>
  <cols>
    <col min="1" max="1" width="55" customWidth="1"/>
    <col min="2" max="2" width="28" customWidth="1"/>
    <col min="3" max="3" width="12" customWidth="1"/>
  </cols>
  <sheetData>
    <row r="1" spans="1:3" ht="16.5" customHeight="1" x14ac:dyDescent="0.2">
      <c r="A1" s="6" t="s">
        <v>0</v>
      </c>
      <c r="B1" s="6"/>
      <c r="C1" s="6"/>
    </row>
    <row r="2" spans="1:3" x14ac:dyDescent="0.2">
      <c r="A2" s="7" t="s">
        <v>1</v>
      </c>
      <c r="B2" s="7"/>
      <c r="C2" s="7"/>
    </row>
    <row r="4" spans="1:3" x14ac:dyDescent="0.2">
      <c r="A4" s="1" t="s">
        <v>2</v>
      </c>
      <c r="B4" s="1" t="s">
        <v>3</v>
      </c>
      <c r="C4" s="1" t="s">
        <v>4</v>
      </c>
    </row>
    <row r="5" spans="1:3" x14ac:dyDescent="0.2">
      <c r="A5" s="2" t="s">
        <v>5</v>
      </c>
      <c r="B5" s="2" t="s">
        <v>6</v>
      </c>
      <c r="C5" s="2">
        <v>87</v>
      </c>
    </row>
    <row r="6" spans="1:3" x14ac:dyDescent="0.2">
      <c r="A6" s="2" t="s">
        <v>7</v>
      </c>
      <c r="B6" s="2" t="s">
        <v>8</v>
      </c>
      <c r="C6" s="2">
        <v>31</v>
      </c>
    </row>
    <row r="7" spans="1:3" x14ac:dyDescent="0.2">
      <c r="A7" s="2" t="s">
        <v>9</v>
      </c>
      <c r="B7" s="2" t="s">
        <v>10</v>
      </c>
      <c r="C7" s="2">
        <v>41</v>
      </c>
    </row>
    <row r="8" spans="1:3" x14ac:dyDescent="0.2">
      <c r="A8" s="2" t="s">
        <v>11</v>
      </c>
      <c r="B8" s="2" t="s">
        <v>12</v>
      </c>
      <c r="C8" s="2">
        <v>22</v>
      </c>
    </row>
    <row r="9" spans="1:3" x14ac:dyDescent="0.2">
      <c r="A9" s="2" t="s">
        <v>13</v>
      </c>
      <c r="B9" s="2" t="s">
        <v>14</v>
      </c>
      <c r="C9" s="2">
        <v>51</v>
      </c>
    </row>
    <row r="10" spans="1:3" x14ac:dyDescent="0.2">
      <c r="A10" s="2" t="s">
        <v>15</v>
      </c>
      <c r="B10" s="2" t="s">
        <v>16</v>
      </c>
      <c r="C10" s="2">
        <v>48</v>
      </c>
    </row>
    <row r="11" spans="1:3" x14ac:dyDescent="0.2">
      <c r="A11" s="2" t="s">
        <v>17</v>
      </c>
      <c r="B11" s="2" t="s">
        <v>18</v>
      </c>
      <c r="C11" s="2">
        <v>17</v>
      </c>
    </row>
    <row r="12" spans="1:3" x14ac:dyDescent="0.2">
      <c r="A12" s="2" t="s">
        <v>19</v>
      </c>
      <c r="B12" s="2" t="s">
        <v>20</v>
      </c>
      <c r="C12" s="2">
        <v>17</v>
      </c>
    </row>
    <row r="13" spans="1:3" x14ac:dyDescent="0.2">
      <c r="A13" s="3" t="s">
        <v>21</v>
      </c>
      <c r="B13" s="4"/>
      <c r="C13" s="3">
        <f>SUM(C5:C12)</f>
        <v>314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zoomScale="160" zoomScaleNormal="160" workbookViewId="0">
      <pane ySplit="4" topLeftCell="A36" activePane="bottomLeft" state="frozen"/>
      <selection pane="bottomLeft" activeCell="E44" sqref="E44"/>
    </sheetView>
  </sheetViews>
  <sheetFormatPr baseColWidth="10" defaultColWidth="8.6640625" defaultRowHeight="15" x14ac:dyDescent="0.2"/>
  <cols>
    <col min="1" max="1" width="8" customWidth="1"/>
    <col min="2" max="2" width="55" customWidth="1"/>
    <col min="3" max="3" width="6" customWidth="1"/>
    <col min="4" max="4" width="60" customWidth="1"/>
    <col min="5" max="5" width="16" customWidth="1"/>
    <col min="6" max="6" width="14" customWidth="1"/>
    <col min="7" max="7" width="16" customWidth="1"/>
  </cols>
  <sheetData>
    <row r="1" spans="1:7" ht="16.5" customHeight="1" x14ac:dyDescent="0.2">
      <c r="A1" s="6" t="s">
        <v>5</v>
      </c>
      <c r="B1" s="6"/>
      <c r="C1" s="6"/>
      <c r="D1" s="6"/>
      <c r="E1" s="6"/>
      <c r="F1" s="6"/>
      <c r="G1" s="6"/>
    </row>
    <row r="2" spans="1:7" x14ac:dyDescent="0.2">
      <c r="A2" s="7" t="s">
        <v>22</v>
      </c>
      <c r="B2" s="7"/>
      <c r="C2" s="7"/>
      <c r="D2" s="7"/>
      <c r="E2" s="7"/>
      <c r="F2" s="7"/>
      <c r="G2" s="7"/>
    </row>
    <row r="4" spans="1:7" x14ac:dyDescent="0.2">
      <c r="A4" s="8" t="s">
        <v>23</v>
      </c>
      <c r="B4" s="8"/>
      <c r="C4" s="8"/>
      <c r="D4" s="8"/>
      <c r="E4" s="8"/>
      <c r="F4" s="8"/>
      <c r="G4" s="8"/>
    </row>
    <row r="5" spans="1:7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27.75" customHeight="1" x14ac:dyDescent="0.2">
      <c r="A6" s="5" t="s">
        <v>31</v>
      </c>
      <c r="B6" s="5" t="s">
        <v>32</v>
      </c>
      <c r="C6" s="5">
        <v>2</v>
      </c>
      <c r="D6" s="5" t="s">
        <v>33</v>
      </c>
      <c r="E6" s="5" t="s">
        <v>34</v>
      </c>
      <c r="F6" s="5"/>
      <c r="G6" s="5" t="s">
        <v>35</v>
      </c>
    </row>
    <row r="7" spans="1:7" ht="27.75" customHeight="1" x14ac:dyDescent="0.2">
      <c r="A7" s="5" t="s">
        <v>36</v>
      </c>
      <c r="B7" s="5" t="s">
        <v>37</v>
      </c>
      <c r="C7" s="5">
        <v>1</v>
      </c>
      <c r="D7" s="5" t="s">
        <v>38</v>
      </c>
      <c r="E7" s="5" t="s">
        <v>34</v>
      </c>
      <c r="F7" s="5"/>
      <c r="G7" s="5" t="s">
        <v>35</v>
      </c>
    </row>
    <row r="8" spans="1:7" ht="27.75" customHeight="1" x14ac:dyDescent="0.2">
      <c r="A8" s="5" t="s">
        <v>39</v>
      </c>
      <c r="B8" s="5" t="s">
        <v>40</v>
      </c>
      <c r="C8" s="5">
        <v>2</v>
      </c>
      <c r="D8" s="5" t="s">
        <v>41</v>
      </c>
      <c r="E8" s="5" t="s">
        <v>36</v>
      </c>
      <c r="F8" s="5"/>
      <c r="G8" s="5" t="s">
        <v>35</v>
      </c>
    </row>
    <row r="9" spans="1:7" ht="27.75" customHeight="1" x14ac:dyDescent="0.2">
      <c r="A9" s="5" t="s">
        <v>42</v>
      </c>
      <c r="B9" s="5" t="s">
        <v>43</v>
      </c>
      <c r="C9" s="5">
        <v>2</v>
      </c>
      <c r="D9" s="5" t="s">
        <v>44</v>
      </c>
      <c r="E9" s="5" t="s">
        <v>36</v>
      </c>
      <c r="F9" s="5"/>
      <c r="G9" s="5" t="s">
        <v>35</v>
      </c>
    </row>
    <row r="10" spans="1:7" ht="27.75" customHeight="1" x14ac:dyDescent="0.2">
      <c r="A10" s="5" t="s">
        <v>45</v>
      </c>
      <c r="B10" s="5" t="s">
        <v>46</v>
      </c>
      <c r="C10" s="5">
        <v>3</v>
      </c>
      <c r="D10" s="5" t="s">
        <v>47</v>
      </c>
      <c r="E10" s="5" t="s">
        <v>48</v>
      </c>
      <c r="F10" s="5"/>
      <c r="G10" s="5" t="s">
        <v>35</v>
      </c>
    </row>
    <row r="11" spans="1:7" ht="27.75" customHeight="1" x14ac:dyDescent="0.2">
      <c r="A11" s="5" t="s">
        <v>49</v>
      </c>
      <c r="B11" s="5" t="s">
        <v>50</v>
      </c>
      <c r="C11" s="5">
        <v>2</v>
      </c>
      <c r="D11" s="5" t="s">
        <v>51</v>
      </c>
      <c r="E11" s="5" t="s">
        <v>45</v>
      </c>
      <c r="F11" s="5"/>
      <c r="G11" s="5" t="s">
        <v>35</v>
      </c>
    </row>
    <row r="12" spans="1:7" x14ac:dyDescent="0.2">
      <c r="A12" s="4"/>
      <c r="B12" s="3" t="s">
        <v>52</v>
      </c>
      <c r="C12" s="3">
        <v>12</v>
      </c>
      <c r="D12" s="4"/>
      <c r="E12" s="4"/>
      <c r="F12" s="4"/>
      <c r="G12" s="4"/>
    </row>
    <row r="14" spans="1:7" x14ac:dyDescent="0.2">
      <c r="A14" s="8" t="s">
        <v>53</v>
      </c>
      <c r="B14" s="8"/>
      <c r="C14" s="8"/>
      <c r="D14" s="8"/>
      <c r="E14" s="8"/>
      <c r="F14" s="8"/>
      <c r="G14" s="8"/>
    </row>
    <row r="15" spans="1:7" x14ac:dyDescent="0.2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29</v>
      </c>
      <c r="G15" s="1" t="s">
        <v>30</v>
      </c>
    </row>
    <row r="16" spans="1:7" ht="42" customHeight="1" x14ac:dyDescent="0.2">
      <c r="A16" s="5" t="s">
        <v>54</v>
      </c>
      <c r="B16" s="5" t="s">
        <v>55</v>
      </c>
      <c r="C16" s="5">
        <v>1</v>
      </c>
      <c r="D16" s="5" t="s">
        <v>56</v>
      </c>
      <c r="E16" s="5" t="s">
        <v>34</v>
      </c>
      <c r="F16" s="5"/>
      <c r="G16" s="5" t="s">
        <v>35</v>
      </c>
    </row>
    <row r="17" spans="1:7" ht="42" customHeight="1" x14ac:dyDescent="0.2">
      <c r="A17" s="5" t="s">
        <v>57</v>
      </c>
      <c r="B17" s="5" t="s">
        <v>58</v>
      </c>
      <c r="C17" s="5">
        <v>2</v>
      </c>
      <c r="D17" s="5" t="s">
        <v>59</v>
      </c>
      <c r="E17" s="5" t="s">
        <v>54</v>
      </c>
      <c r="F17" s="5"/>
      <c r="G17" s="5" t="s">
        <v>35</v>
      </c>
    </row>
    <row r="18" spans="1:7" ht="27.75" customHeight="1" x14ac:dyDescent="0.2">
      <c r="A18" s="5" t="s">
        <v>60</v>
      </c>
      <c r="B18" s="5" t="s">
        <v>61</v>
      </c>
      <c r="C18" s="5">
        <v>5</v>
      </c>
      <c r="D18" s="5" t="s">
        <v>62</v>
      </c>
      <c r="E18" s="5" t="s">
        <v>57</v>
      </c>
      <c r="F18" s="5"/>
      <c r="G18" s="5" t="s">
        <v>35</v>
      </c>
    </row>
    <row r="19" spans="1:7" ht="27.75" customHeight="1" x14ac:dyDescent="0.2">
      <c r="A19" s="5" t="s">
        <v>63</v>
      </c>
      <c r="B19" s="5" t="s">
        <v>64</v>
      </c>
      <c r="C19" s="5">
        <v>5</v>
      </c>
      <c r="D19" s="5" t="s">
        <v>65</v>
      </c>
      <c r="E19" s="5" t="s">
        <v>66</v>
      </c>
      <c r="F19" s="5"/>
      <c r="G19" s="5" t="s">
        <v>35</v>
      </c>
    </row>
    <row r="20" spans="1:7" ht="27.75" customHeight="1" x14ac:dyDescent="0.2">
      <c r="A20" s="5" t="s">
        <v>67</v>
      </c>
      <c r="B20" s="5" t="s">
        <v>68</v>
      </c>
      <c r="C20" s="5">
        <v>2</v>
      </c>
      <c r="D20" s="5" t="s">
        <v>69</v>
      </c>
      <c r="E20" s="5" t="s">
        <v>57</v>
      </c>
      <c r="F20" s="5"/>
      <c r="G20" s="5" t="s">
        <v>35</v>
      </c>
    </row>
    <row r="21" spans="1:7" ht="27.75" customHeight="1" x14ac:dyDescent="0.2">
      <c r="A21" s="5" t="s">
        <v>70</v>
      </c>
      <c r="B21" s="5" t="s">
        <v>71</v>
      </c>
      <c r="C21" s="5">
        <v>5</v>
      </c>
      <c r="D21" s="5" t="s">
        <v>72</v>
      </c>
      <c r="E21" s="5" t="s">
        <v>63</v>
      </c>
      <c r="F21" s="5"/>
      <c r="G21" s="5" t="s">
        <v>35</v>
      </c>
    </row>
    <row r="22" spans="1:7" ht="27.75" customHeight="1" x14ac:dyDescent="0.2">
      <c r="A22" s="5" t="s">
        <v>73</v>
      </c>
      <c r="B22" s="5" t="s">
        <v>74</v>
      </c>
      <c r="C22" s="5">
        <v>3</v>
      </c>
      <c r="D22" s="5" t="s">
        <v>75</v>
      </c>
      <c r="E22" s="5" t="s">
        <v>76</v>
      </c>
      <c r="F22" s="5"/>
      <c r="G22" s="5" t="s">
        <v>35</v>
      </c>
    </row>
    <row r="23" spans="1:7" x14ac:dyDescent="0.2">
      <c r="A23" s="4"/>
      <c r="B23" s="3" t="s">
        <v>77</v>
      </c>
      <c r="C23" s="3">
        <v>23</v>
      </c>
      <c r="D23" s="4"/>
      <c r="E23" s="4"/>
      <c r="F23" s="4"/>
      <c r="G23" s="4"/>
    </row>
    <row r="25" spans="1:7" x14ac:dyDescent="0.2">
      <c r="A25" s="8" t="s">
        <v>78</v>
      </c>
      <c r="B25" s="8"/>
      <c r="C25" s="8"/>
      <c r="D25" s="8"/>
      <c r="E25" s="8"/>
      <c r="F25" s="8"/>
      <c r="G25" s="8"/>
    </row>
    <row r="26" spans="1:7" x14ac:dyDescent="0.2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28</v>
      </c>
      <c r="F26" s="1" t="s">
        <v>29</v>
      </c>
      <c r="G26" s="1" t="s">
        <v>30</v>
      </c>
    </row>
    <row r="27" spans="1:7" ht="27.75" customHeight="1" x14ac:dyDescent="0.2">
      <c r="A27" s="5" t="s">
        <v>79</v>
      </c>
      <c r="B27" s="5" t="s">
        <v>80</v>
      </c>
      <c r="C27" s="5">
        <v>2</v>
      </c>
      <c r="D27" s="5" t="s">
        <v>81</v>
      </c>
      <c r="E27" s="5" t="s">
        <v>31</v>
      </c>
      <c r="F27" s="5"/>
      <c r="G27" s="5" t="s">
        <v>35</v>
      </c>
    </row>
    <row r="28" spans="1:7" ht="27.75" customHeight="1" x14ac:dyDescent="0.2">
      <c r="A28" s="5" t="s">
        <v>82</v>
      </c>
      <c r="B28" s="5" t="s">
        <v>83</v>
      </c>
      <c r="C28" s="5">
        <v>1</v>
      </c>
      <c r="D28" s="5" t="s">
        <v>84</v>
      </c>
      <c r="E28" s="5" t="s">
        <v>79</v>
      </c>
      <c r="F28" s="5"/>
      <c r="G28" s="5" t="s">
        <v>35</v>
      </c>
    </row>
    <row r="29" spans="1:7" ht="42" customHeight="1" x14ac:dyDescent="0.2">
      <c r="A29" s="5" t="s">
        <v>85</v>
      </c>
      <c r="B29" s="5" t="s">
        <v>86</v>
      </c>
      <c r="C29" s="5">
        <v>3</v>
      </c>
      <c r="D29" s="5" t="s">
        <v>87</v>
      </c>
      <c r="E29" s="5" t="s">
        <v>79</v>
      </c>
      <c r="F29" s="5"/>
      <c r="G29" s="5" t="s">
        <v>35</v>
      </c>
    </row>
    <row r="30" spans="1:7" ht="42" customHeight="1" x14ac:dyDescent="0.2">
      <c r="A30" s="5" t="s">
        <v>88</v>
      </c>
      <c r="B30" s="5" t="s">
        <v>89</v>
      </c>
      <c r="C30" s="5">
        <v>3</v>
      </c>
      <c r="D30" s="5" t="s">
        <v>90</v>
      </c>
      <c r="E30" s="5" t="s">
        <v>34</v>
      </c>
      <c r="F30" s="5"/>
      <c r="G30" s="5" t="s">
        <v>35</v>
      </c>
    </row>
    <row r="31" spans="1:7" ht="27.75" customHeight="1" x14ac:dyDescent="0.2">
      <c r="A31" s="5" t="s">
        <v>91</v>
      </c>
      <c r="B31" s="5" t="s">
        <v>92</v>
      </c>
      <c r="C31" s="5">
        <v>5</v>
      </c>
      <c r="D31" s="5" t="s">
        <v>93</v>
      </c>
      <c r="E31" s="5" t="s">
        <v>88</v>
      </c>
      <c r="F31" s="5"/>
      <c r="G31" s="5" t="s">
        <v>35</v>
      </c>
    </row>
    <row r="32" spans="1:7" ht="27.75" customHeight="1" x14ac:dyDescent="0.2">
      <c r="A32" s="5" t="s">
        <v>94</v>
      </c>
      <c r="B32" s="5" t="s">
        <v>95</v>
      </c>
      <c r="C32" s="5">
        <v>3</v>
      </c>
      <c r="D32" s="5" t="s">
        <v>96</v>
      </c>
      <c r="E32" s="5" t="s">
        <v>79</v>
      </c>
      <c r="F32" s="5"/>
      <c r="G32" s="5" t="s">
        <v>35</v>
      </c>
    </row>
    <row r="33" spans="1:7" ht="42" customHeight="1" x14ac:dyDescent="0.2">
      <c r="A33" s="5" t="s">
        <v>97</v>
      </c>
      <c r="B33" s="5" t="s">
        <v>98</v>
      </c>
      <c r="C33" s="5">
        <v>5</v>
      </c>
      <c r="D33" s="5" t="s">
        <v>99</v>
      </c>
      <c r="E33" s="5" t="s">
        <v>79</v>
      </c>
      <c r="F33" s="5"/>
      <c r="G33" s="5" t="s">
        <v>35</v>
      </c>
    </row>
    <row r="34" spans="1:7" x14ac:dyDescent="0.2">
      <c r="A34" s="4"/>
      <c r="B34" s="3" t="s">
        <v>100</v>
      </c>
      <c r="C34" s="3">
        <v>22</v>
      </c>
      <c r="D34" s="4"/>
      <c r="E34" s="4"/>
      <c r="F34" s="4"/>
      <c r="G34" s="4"/>
    </row>
    <row r="36" spans="1:7" x14ac:dyDescent="0.2">
      <c r="A36" s="8" t="s">
        <v>101</v>
      </c>
      <c r="B36" s="8"/>
      <c r="C36" s="8"/>
      <c r="D36" s="8"/>
      <c r="E36" s="8"/>
      <c r="F36" s="8"/>
      <c r="G36" s="8"/>
    </row>
    <row r="37" spans="1:7" x14ac:dyDescent="0.2">
      <c r="A37" s="1" t="s">
        <v>24</v>
      </c>
      <c r="B37" s="1" t="s">
        <v>25</v>
      </c>
      <c r="C37" s="1" t="s">
        <v>26</v>
      </c>
      <c r="D37" s="1" t="s">
        <v>27</v>
      </c>
      <c r="E37" s="1" t="s">
        <v>28</v>
      </c>
      <c r="F37" s="1" t="s">
        <v>29</v>
      </c>
      <c r="G37" s="1" t="s">
        <v>30</v>
      </c>
    </row>
    <row r="38" spans="1:7" ht="27.75" customHeight="1" x14ac:dyDescent="0.2">
      <c r="A38" s="5" t="s">
        <v>102</v>
      </c>
      <c r="B38" s="5" t="s">
        <v>103</v>
      </c>
      <c r="C38" s="5">
        <v>2</v>
      </c>
      <c r="D38" s="5" t="s">
        <v>104</v>
      </c>
      <c r="E38" s="5" t="s">
        <v>91</v>
      </c>
      <c r="F38" s="5"/>
      <c r="G38" s="5" t="s">
        <v>35</v>
      </c>
    </row>
    <row r="39" spans="1:7" ht="27.75" customHeight="1" x14ac:dyDescent="0.2">
      <c r="A39" s="5" t="s">
        <v>105</v>
      </c>
      <c r="B39" s="5" t="s">
        <v>106</v>
      </c>
      <c r="C39" s="5">
        <v>2</v>
      </c>
      <c r="D39" s="5" t="s">
        <v>107</v>
      </c>
      <c r="E39" s="5" t="s">
        <v>108</v>
      </c>
      <c r="F39" s="5"/>
      <c r="G39" s="5" t="s">
        <v>35</v>
      </c>
    </row>
    <row r="40" spans="1:7" ht="27.75" customHeight="1" x14ac:dyDescent="0.2">
      <c r="A40" s="5" t="s">
        <v>109</v>
      </c>
      <c r="B40" s="5" t="s">
        <v>110</v>
      </c>
      <c r="C40" s="5">
        <v>2</v>
      </c>
      <c r="D40" s="5" t="s">
        <v>111</v>
      </c>
      <c r="E40" s="5" t="s">
        <v>97</v>
      </c>
      <c r="F40" s="5"/>
      <c r="G40" s="5" t="s">
        <v>35</v>
      </c>
    </row>
    <row r="41" spans="1:7" ht="27.75" customHeight="1" x14ac:dyDescent="0.2">
      <c r="A41" s="5" t="s">
        <v>112</v>
      </c>
      <c r="B41" s="5" t="s">
        <v>113</v>
      </c>
      <c r="C41" s="5">
        <v>3</v>
      </c>
      <c r="D41" s="5" t="s">
        <v>114</v>
      </c>
      <c r="E41" s="5" t="s">
        <v>115</v>
      </c>
      <c r="F41" s="5"/>
      <c r="G41" s="5" t="s">
        <v>35</v>
      </c>
    </row>
    <row r="42" spans="1:7" x14ac:dyDescent="0.2">
      <c r="A42" s="5" t="s">
        <v>116</v>
      </c>
      <c r="B42" s="5" t="s">
        <v>117</v>
      </c>
      <c r="C42" s="5">
        <v>2</v>
      </c>
      <c r="D42" s="5" t="s">
        <v>118</v>
      </c>
      <c r="E42" s="5" t="s">
        <v>94</v>
      </c>
      <c r="F42" s="5"/>
      <c r="G42" s="5" t="s">
        <v>35</v>
      </c>
    </row>
    <row r="43" spans="1:7" ht="42" customHeight="1" x14ac:dyDescent="0.2">
      <c r="A43" s="5" t="s">
        <v>119</v>
      </c>
      <c r="B43" s="5" t="s">
        <v>120</v>
      </c>
      <c r="C43" s="5">
        <v>3</v>
      </c>
      <c r="D43" s="5" t="s">
        <v>121</v>
      </c>
      <c r="E43" s="5" t="s">
        <v>122</v>
      </c>
      <c r="F43" s="5"/>
      <c r="G43" s="5" t="s">
        <v>35</v>
      </c>
    </row>
    <row r="44" spans="1:7" ht="42" customHeight="1" x14ac:dyDescent="0.2">
      <c r="A44" s="5" t="s">
        <v>123</v>
      </c>
      <c r="B44" s="5" t="s">
        <v>124</v>
      </c>
      <c r="C44" s="5">
        <v>2</v>
      </c>
      <c r="D44" s="5" t="s">
        <v>125</v>
      </c>
      <c r="E44" s="5" t="s">
        <v>119</v>
      </c>
      <c r="F44" s="5"/>
      <c r="G44" s="5" t="s">
        <v>35</v>
      </c>
    </row>
    <row r="45" spans="1:7" x14ac:dyDescent="0.2">
      <c r="A45" s="4"/>
      <c r="B45" s="3" t="s">
        <v>126</v>
      </c>
      <c r="C45" s="3">
        <v>16</v>
      </c>
      <c r="D45" s="4"/>
      <c r="E45" s="4"/>
      <c r="F45" s="4"/>
      <c r="G45" s="4"/>
    </row>
    <row r="47" spans="1:7" x14ac:dyDescent="0.2">
      <c r="A47" s="8" t="s">
        <v>127</v>
      </c>
      <c r="B47" s="8"/>
      <c r="C47" s="8"/>
      <c r="D47" s="8"/>
      <c r="E47" s="8"/>
      <c r="F47" s="8"/>
      <c r="G47" s="8"/>
    </row>
    <row r="48" spans="1:7" x14ac:dyDescent="0.2">
      <c r="A48" s="1" t="s">
        <v>24</v>
      </c>
      <c r="B48" s="1" t="s">
        <v>25</v>
      </c>
      <c r="C48" s="1" t="s">
        <v>26</v>
      </c>
      <c r="D48" s="1" t="s">
        <v>27</v>
      </c>
      <c r="E48" s="1" t="s">
        <v>28</v>
      </c>
      <c r="F48" s="1" t="s">
        <v>29</v>
      </c>
      <c r="G48" s="1" t="s">
        <v>30</v>
      </c>
    </row>
    <row r="49" spans="1:7" ht="27.75" customHeight="1" x14ac:dyDescent="0.2">
      <c r="A49" s="5" t="s">
        <v>128</v>
      </c>
      <c r="B49" s="5" t="s">
        <v>129</v>
      </c>
      <c r="C49" s="5">
        <v>3</v>
      </c>
      <c r="D49" s="5" t="s">
        <v>130</v>
      </c>
      <c r="E49" s="5" t="s">
        <v>31</v>
      </c>
      <c r="F49" s="5"/>
      <c r="G49" s="5" t="s">
        <v>131</v>
      </c>
    </row>
    <row r="50" spans="1:7" ht="27.75" customHeight="1" x14ac:dyDescent="0.2">
      <c r="A50" s="5" t="s">
        <v>132</v>
      </c>
      <c r="B50" s="5" t="s">
        <v>133</v>
      </c>
      <c r="C50" s="5">
        <v>2</v>
      </c>
      <c r="D50" s="5" t="s">
        <v>134</v>
      </c>
      <c r="E50" s="5" t="s">
        <v>31</v>
      </c>
      <c r="F50" s="5"/>
      <c r="G50" s="5" t="s">
        <v>131</v>
      </c>
    </row>
    <row r="51" spans="1:7" ht="27.75" customHeight="1" x14ac:dyDescent="0.2">
      <c r="A51" s="5" t="s">
        <v>135</v>
      </c>
      <c r="B51" s="5" t="s">
        <v>136</v>
      </c>
      <c r="C51" s="5">
        <v>1</v>
      </c>
      <c r="D51" s="5" t="s">
        <v>137</v>
      </c>
      <c r="E51" s="5" t="s">
        <v>31</v>
      </c>
      <c r="F51" s="5"/>
      <c r="G51" s="5" t="s">
        <v>131</v>
      </c>
    </row>
    <row r="52" spans="1:7" ht="27.75" customHeight="1" x14ac:dyDescent="0.2">
      <c r="A52" s="5" t="s">
        <v>138</v>
      </c>
      <c r="B52" s="5" t="s">
        <v>139</v>
      </c>
      <c r="C52" s="5">
        <v>2</v>
      </c>
      <c r="D52" s="5" t="s">
        <v>140</v>
      </c>
      <c r="E52" s="5" t="s">
        <v>31</v>
      </c>
      <c r="F52" s="5"/>
      <c r="G52" s="5" t="s">
        <v>131</v>
      </c>
    </row>
    <row r="53" spans="1:7" ht="27.75" customHeight="1" x14ac:dyDescent="0.2">
      <c r="A53" s="5" t="s">
        <v>141</v>
      </c>
      <c r="B53" s="5" t="s">
        <v>142</v>
      </c>
      <c r="C53" s="5">
        <v>1</v>
      </c>
      <c r="D53" s="5" t="s">
        <v>143</v>
      </c>
      <c r="E53" s="5" t="s">
        <v>31</v>
      </c>
      <c r="F53" s="5"/>
      <c r="G53" s="5" t="s">
        <v>131</v>
      </c>
    </row>
    <row r="54" spans="1:7" ht="42" customHeight="1" x14ac:dyDescent="0.2">
      <c r="A54" s="5" t="s">
        <v>144</v>
      </c>
      <c r="B54" s="5" t="s">
        <v>145</v>
      </c>
      <c r="C54" s="5">
        <v>5</v>
      </c>
      <c r="D54" s="5" t="s">
        <v>146</v>
      </c>
      <c r="E54" s="5" t="s">
        <v>147</v>
      </c>
      <c r="F54" s="5"/>
      <c r="G54" s="5" t="s">
        <v>131</v>
      </c>
    </row>
    <row r="55" spans="1:7" x14ac:dyDescent="0.2">
      <c r="A55" s="4"/>
      <c r="B55" s="3" t="s">
        <v>148</v>
      </c>
      <c r="C55" s="3">
        <v>14</v>
      </c>
      <c r="D55" s="4"/>
      <c r="E55" s="4"/>
      <c r="F55" s="4"/>
      <c r="G55" s="4"/>
    </row>
  </sheetData>
  <mergeCells count="7">
    <mergeCell ref="A36:G36"/>
    <mergeCell ref="A47:G47"/>
    <mergeCell ref="A1:G1"/>
    <mergeCell ref="A2:G2"/>
    <mergeCell ref="A4:G4"/>
    <mergeCell ref="A14:G14"/>
    <mergeCell ref="A25:G25"/>
  </mergeCells>
  <conditionalFormatting sqref="G6:G54">
    <cfRule type="cellIs" dxfId="44" priority="2" operator="equal">
      <formula>"No iniciado"</formula>
    </cfRule>
    <cfRule type="cellIs" dxfId="43" priority="3" operator="equal">
      <formula>"En progreso"</formula>
    </cfRule>
    <cfRule type="cellIs" dxfId="42" priority="4" operator="equal">
      <formula>"Bloqueado"</formula>
    </cfRule>
    <cfRule type="cellIs" dxfId="41" priority="5" operator="equal">
      <formula>"En revisión"</formula>
    </cfRule>
    <cfRule type="cellIs" dxfId="40" priority="6" operator="equal">
      <formula>"Completado"</formula>
    </cfRule>
  </conditionalFormatting>
  <dataValidations count="1">
    <dataValidation type="list" allowBlank="1" sqref="G6:G11 G16:G22 G27:G33 G38:G44 G49:G54" xr:uid="{00000000-0002-0000-0100-000000000000}">
      <formula1>"No iniciado,En progreso,Bloqueado,En revisión,Completado"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="150" zoomScaleNormal="150" workbookViewId="0">
      <pane ySplit="4" topLeftCell="A5" activePane="bottomLeft" state="frozen"/>
      <selection pane="bottomLeft" sqref="A1:G1"/>
    </sheetView>
  </sheetViews>
  <sheetFormatPr baseColWidth="10" defaultColWidth="8.6640625" defaultRowHeight="15" x14ac:dyDescent="0.2"/>
  <cols>
    <col min="1" max="1" width="8" customWidth="1"/>
    <col min="2" max="2" width="55" customWidth="1"/>
    <col min="3" max="3" width="6" customWidth="1"/>
    <col min="4" max="4" width="60" customWidth="1"/>
    <col min="5" max="5" width="16" customWidth="1"/>
    <col min="6" max="6" width="14" customWidth="1"/>
    <col min="7" max="7" width="16" customWidth="1"/>
  </cols>
  <sheetData>
    <row r="1" spans="1:7" ht="16.5" customHeight="1" x14ac:dyDescent="0.2">
      <c r="A1" s="6" t="s">
        <v>7</v>
      </c>
      <c r="B1" s="6"/>
      <c r="C1" s="6"/>
      <c r="D1" s="6"/>
      <c r="E1" s="6"/>
      <c r="F1" s="6"/>
      <c r="G1" s="6"/>
    </row>
    <row r="2" spans="1:7" x14ac:dyDescent="0.2">
      <c r="A2" s="7" t="s">
        <v>149</v>
      </c>
      <c r="B2" s="7"/>
      <c r="C2" s="7"/>
      <c r="D2" s="7"/>
      <c r="E2" s="7"/>
      <c r="F2" s="7"/>
      <c r="G2" s="7"/>
    </row>
    <row r="4" spans="1:7" x14ac:dyDescent="0.2">
      <c r="A4" s="8" t="s">
        <v>150</v>
      </c>
      <c r="B4" s="8"/>
      <c r="C4" s="8"/>
      <c r="D4" s="8"/>
      <c r="E4" s="8"/>
      <c r="F4" s="8"/>
      <c r="G4" s="8"/>
    </row>
    <row r="5" spans="1:7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42" customHeight="1" x14ac:dyDescent="0.2">
      <c r="A6" s="5" t="s">
        <v>151</v>
      </c>
      <c r="B6" s="5" t="s">
        <v>152</v>
      </c>
      <c r="C6" s="5">
        <v>1</v>
      </c>
      <c r="D6" s="5" t="s">
        <v>153</v>
      </c>
      <c r="E6" s="5" t="s">
        <v>49</v>
      </c>
      <c r="F6" s="5"/>
      <c r="G6" s="5" t="s">
        <v>131</v>
      </c>
    </row>
    <row r="7" spans="1:7" ht="27.75" customHeight="1" x14ac:dyDescent="0.2">
      <c r="A7" s="5" t="s">
        <v>154</v>
      </c>
      <c r="B7" s="5" t="s">
        <v>155</v>
      </c>
      <c r="C7" s="5">
        <v>2</v>
      </c>
      <c r="D7" s="5" t="s">
        <v>156</v>
      </c>
      <c r="E7" s="5" t="s">
        <v>151</v>
      </c>
      <c r="F7" s="5"/>
      <c r="G7" s="5" t="s">
        <v>131</v>
      </c>
    </row>
    <row r="8" spans="1:7" ht="42" customHeight="1" x14ac:dyDescent="0.2">
      <c r="A8" s="5" t="s">
        <v>157</v>
      </c>
      <c r="B8" s="5" t="s">
        <v>158</v>
      </c>
      <c r="C8" s="5">
        <v>5</v>
      </c>
      <c r="D8" s="5" t="s">
        <v>159</v>
      </c>
      <c r="E8" s="5" t="s">
        <v>160</v>
      </c>
      <c r="F8" s="5"/>
      <c r="G8" s="5" t="s">
        <v>131</v>
      </c>
    </row>
    <row r="9" spans="1:7" ht="27.75" customHeight="1" x14ac:dyDescent="0.2">
      <c r="A9" s="5" t="s">
        <v>161</v>
      </c>
      <c r="B9" s="5" t="s">
        <v>162</v>
      </c>
      <c r="C9" s="5">
        <v>3</v>
      </c>
      <c r="D9" s="5" t="s">
        <v>163</v>
      </c>
      <c r="E9" s="5" t="s">
        <v>157</v>
      </c>
      <c r="F9" s="5"/>
      <c r="G9" s="5" t="s">
        <v>131</v>
      </c>
    </row>
    <row r="10" spans="1:7" x14ac:dyDescent="0.2">
      <c r="A10" s="4"/>
      <c r="B10" s="3" t="s">
        <v>164</v>
      </c>
      <c r="C10" s="3">
        <v>11</v>
      </c>
      <c r="D10" s="4"/>
      <c r="E10" s="4"/>
      <c r="F10" s="4"/>
      <c r="G10" s="4"/>
    </row>
    <row r="12" spans="1:7" x14ac:dyDescent="0.2">
      <c r="A12" s="8" t="s">
        <v>165</v>
      </c>
      <c r="B12" s="8"/>
      <c r="C12" s="8"/>
      <c r="D12" s="8"/>
      <c r="E12" s="8"/>
      <c r="F12" s="8"/>
      <c r="G12" s="8"/>
    </row>
    <row r="13" spans="1:7" x14ac:dyDescent="0.2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30</v>
      </c>
    </row>
    <row r="14" spans="1:7" ht="27.75" customHeight="1" x14ac:dyDescent="0.2">
      <c r="A14" s="5" t="s">
        <v>166</v>
      </c>
      <c r="B14" s="5" t="s">
        <v>167</v>
      </c>
      <c r="C14" s="5">
        <v>3</v>
      </c>
      <c r="D14" s="5" t="s">
        <v>168</v>
      </c>
      <c r="E14" s="5" t="s">
        <v>161</v>
      </c>
      <c r="F14" s="5"/>
      <c r="G14" s="5" t="s">
        <v>131</v>
      </c>
    </row>
    <row r="15" spans="1:7" ht="27.75" customHeight="1" x14ac:dyDescent="0.2">
      <c r="A15" s="5" t="s">
        <v>169</v>
      </c>
      <c r="B15" s="5" t="s">
        <v>170</v>
      </c>
      <c r="C15" s="5">
        <v>2</v>
      </c>
      <c r="D15" s="5" t="s">
        <v>171</v>
      </c>
      <c r="E15" s="5" t="s">
        <v>34</v>
      </c>
      <c r="F15" s="5"/>
      <c r="G15" s="5" t="s">
        <v>131</v>
      </c>
    </row>
    <row r="16" spans="1:7" ht="42" customHeight="1" x14ac:dyDescent="0.2">
      <c r="A16" s="5" t="s">
        <v>172</v>
      </c>
      <c r="B16" s="5" t="s">
        <v>173</v>
      </c>
      <c r="C16" s="5">
        <v>3</v>
      </c>
      <c r="D16" s="5" t="s">
        <v>174</v>
      </c>
      <c r="E16" s="5" t="s">
        <v>175</v>
      </c>
      <c r="F16" s="5"/>
      <c r="G16" s="5" t="s">
        <v>131</v>
      </c>
    </row>
    <row r="17" spans="1:7" ht="27.75" customHeight="1" x14ac:dyDescent="0.2">
      <c r="A17" s="5" t="s">
        <v>176</v>
      </c>
      <c r="B17" s="5" t="s">
        <v>177</v>
      </c>
      <c r="C17" s="5">
        <v>2</v>
      </c>
      <c r="D17" s="5" t="s">
        <v>178</v>
      </c>
      <c r="E17" s="5" t="s">
        <v>172</v>
      </c>
      <c r="F17" s="5"/>
      <c r="G17" s="5" t="s">
        <v>131</v>
      </c>
    </row>
    <row r="18" spans="1:7" ht="27.75" customHeight="1" x14ac:dyDescent="0.2">
      <c r="A18" s="5" t="s">
        <v>179</v>
      </c>
      <c r="B18" s="5" t="s">
        <v>180</v>
      </c>
      <c r="C18" s="5">
        <v>2</v>
      </c>
      <c r="D18" s="5" t="s">
        <v>181</v>
      </c>
      <c r="E18" s="5" t="s">
        <v>182</v>
      </c>
      <c r="F18" s="5"/>
      <c r="G18" s="5" t="s">
        <v>131</v>
      </c>
    </row>
    <row r="19" spans="1:7" x14ac:dyDescent="0.2">
      <c r="A19" s="4"/>
      <c r="B19" s="3" t="s">
        <v>183</v>
      </c>
      <c r="C19" s="3">
        <v>12</v>
      </c>
      <c r="D19" s="4"/>
      <c r="E19" s="4"/>
      <c r="F19" s="4"/>
      <c r="G19" s="4"/>
    </row>
    <row r="21" spans="1:7" x14ac:dyDescent="0.2">
      <c r="A21" s="8" t="s">
        <v>184</v>
      </c>
      <c r="B21" s="8"/>
      <c r="C21" s="8"/>
      <c r="D21" s="8"/>
      <c r="E21" s="8"/>
      <c r="F21" s="8"/>
      <c r="G21" s="8"/>
    </row>
    <row r="22" spans="1:7" x14ac:dyDescent="0.2">
      <c r="A22" s="1" t="s">
        <v>24</v>
      </c>
      <c r="B22" s="1" t="s">
        <v>25</v>
      </c>
      <c r="C22" s="1" t="s">
        <v>26</v>
      </c>
      <c r="D22" s="1" t="s">
        <v>27</v>
      </c>
      <c r="E22" s="1" t="s">
        <v>28</v>
      </c>
      <c r="F22" s="1" t="s">
        <v>29</v>
      </c>
      <c r="G22" s="1" t="s">
        <v>30</v>
      </c>
    </row>
    <row r="23" spans="1:7" ht="27.75" customHeight="1" x14ac:dyDescent="0.2">
      <c r="A23" s="5" t="s">
        <v>185</v>
      </c>
      <c r="B23" s="5" t="s">
        <v>186</v>
      </c>
      <c r="C23" s="5">
        <v>3</v>
      </c>
      <c r="D23" s="5" t="s">
        <v>187</v>
      </c>
      <c r="E23" s="5" t="s">
        <v>188</v>
      </c>
      <c r="F23" s="5"/>
      <c r="G23" s="5" t="s">
        <v>131</v>
      </c>
    </row>
    <row r="24" spans="1:7" ht="27.75" customHeight="1" x14ac:dyDescent="0.2">
      <c r="A24" s="5" t="s">
        <v>189</v>
      </c>
      <c r="B24" s="5" t="s">
        <v>190</v>
      </c>
      <c r="C24" s="5">
        <v>3</v>
      </c>
      <c r="D24" s="5" t="s">
        <v>191</v>
      </c>
      <c r="E24" s="5" t="s">
        <v>192</v>
      </c>
      <c r="F24" s="5"/>
      <c r="G24" s="5" t="s">
        <v>131</v>
      </c>
    </row>
    <row r="25" spans="1:7" ht="42" customHeight="1" x14ac:dyDescent="0.2">
      <c r="A25" s="5" t="s">
        <v>193</v>
      </c>
      <c r="B25" s="5" t="s">
        <v>194</v>
      </c>
      <c r="C25" s="5">
        <v>2</v>
      </c>
      <c r="D25" s="5" t="s">
        <v>195</v>
      </c>
      <c r="E25" s="5" t="s">
        <v>189</v>
      </c>
      <c r="F25" s="5"/>
      <c r="G25" s="5" t="s">
        <v>131</v>
      </c>
    </row>
    <row r="26" spans="1:7" x14ac:dyDescent="0.2">
      <c r="A26" s="4"/>
      <c r="B26" s="3" t="s">
        <v>196</v>
      </c>
      <c r="C26" s="3">
        <v>8</v>
      </c>
      <c r="D26" s="4"/>
      <c r="E26" s="4"/>
      <c r="F26" s="4"/>
      <c r="G26" s="4"/>
    </row>
  </sheetData>
  <mergeCells count="5">
    <mergeCell ref="A1:G1"/>
    <mergeCell ref="A2:G2"/>
    <mergeCell ref="A4:G4"/>
    <mergeCell ref="A12:G12"/>
    <mergeCell ref="A21:G21"/>
  </mergeCells>
  <conditionalFormatting sqref="G6:G25">
    <cfRule type="cellIs" dxfId="39" priority="2" operator="equal">
      <formula>"No iniciado"</formula>
    </cfRule>
    <cfRule type="cellIs" dxfId="38" priority="3" operator="equal">
      <formula>"En progreso"</formula>
    </cfRule>
    <cfRule type="cellIs" dxfId="37" priority="4" operator="equal">
      <formula>"Bloqueado"</formula>
    </cfRule>
    <cfRule type="cellIs" dxfId="36" priority="5" operator="equal">
      <formula>"En revisión"</formula>
    </cfRule>
    <cfRule type="cellIs" dxfId="35" priority="6" operator="equal">
      <formula>"Completado"</formula>
    </cfRule>
  </conditionalFormatting>
  <dataValidations count="1">
    <dataValidation type="list" allowBlank="1" sqref="G6:G9 G14:G18 G23:G25" xr:uid="{00000000-0002-0000-0200-000000000000}">
      <formula1>"No iniciado,En progreso,Bloqueado,En revisión,Completado"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zoomScale="140" zoomScaleNormal="140" workbookViewId="0">
      <pane ySplit="4" topLeftCell="A19" activePane="bottomLeft" state="frozen"/>
      <selection pane="bottomLeft" sqref="A1:G1"/>
    </sheetView>
  </sheetViews>
  <sheetFormatPr baseColWidth="10" defaultColWidth="8.6640625" defaultRowHeight="15" x14ac:dyDescent="0.2"/>
  <cols>
    <col min="1" max="1" width="8" customWidth="1"/>
    <col min="2" max="2" width="55" customWidth="1"/>
    <col min="3" max="3" width="6" customWidth="1"/>
    <col min="4" max="4" width="60" customWidth="1"/>
    <col min="5" max="5" width="16" customWidth="1"/>
    <col min="6" max="6" width="14" customWidth="1"/>
    <col min="7" max="7" width="16" customWidth="1"/>
  </cols>
  <sheetData>
    <row r="1" spans="1:7" ht="16.5" customHeight="1" x14ac:dyDescent="0.2">
      <c r="A1" s="6" t="s">
        <v>9</v>
      </c>
      <c r="B1" s="6"/>
      <c r="C1" s="6"/>
      <c r="D1" s="6"/>
      <c r="E1" s="6"/>
      <c r="F1" s="6"/>
      <c r="G1" s="6"/>
    </row>
    <row r="2" spans="1:7" x14ac:dyDescent="0.2">
      <c r="A2" s="7" t="s">
        <v>197</v>
      </c>
      <c r="B2" s="7"/>
      <c r="C2" s="7"/>
      <c r="D2" s="7"/>
      <c r="E2" s="7"/>
      <c r="F2" s="7"/>
      <c r="G2" s="7"/>
    </row>
    <row r="4" spans="1:7" x14ac:dyDescent="0.2">
      <c r="A4" s="8" t="s">
        <v>198</v>
      </c>
      <c r="B4" s="8"/>
      <c r="C4" s="8"/>
      <c r="D4" s="8"/>
      <c r="E4" s="8"/>
      <c r="F4" s="8"/>
      <c r="G4" s="8"/>
    </row>
    <row r="5" spans="1:7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27.75" customHeight="1" x14ac:dyDescent="0.2">
      <c r="A6" s="5" t="s">
        <v>199</v>
      </c>
      <c r="B6" s="5" t="s">
        <v>200</v>
      </c>
      <c r="C6" s="5">
        <v>3</v>
      </c>
      <c r="D6" s="5" t="s">
        <v>201</v>
      </c>
      <c r="E6" s="5" t="s">
        <v>202</v>
      </c>
      <c r="F6" s="5"/>
      <c r="G6" s="5" t="s">
        <v>131</v>
      </c>
    </row>
    <row r="7" spans="1:7" ht="27.75" customHeight="1" x14ac:dyDescent="0.2">
      <c r="A7" s="5" t="s">
        <v>203</v>
      </c>
      <c r="B7" s="5" t="s">
        <v>204</v>
      </c>
      <c r="C7" s="5">
        <v>3</v>
      </c>
      <c r="D7" s="5" t="s">
        <v>205</v>
      </c>
      <c r="E7" s="5" t="s">
        <v>199</v>
      </c>
      <c r="F7" s="5"/>
      <c r="G7" s="5" t="s">
        <v>131</v>
      </c>
    </row>
    <row r="8" spans="1:7" ht="27.75" customHeight="1" x14ac:dyDescent="0.2">
      <c r="A8" s="5" t="s">
        <v>206</v>
      </c>
      <c r="B8" s="5" t="s">
        <v>207</v>
      </c>
      <c r="C8" s="5">
        <v>2</v>
      </c>
      <c r="D8" s="5" t="s">
        <v>208</v>
      </c>
      <c r="E8" s="5" t="s">
        <v>203</v>
      </c>
      <c r="F8" s="5"/>
      <c r="G8" s="5" t="s">
        <v>131</v>
      </c>
    </row>
    <row r="9" spans="1:7" ht="27.75" customHeight="1" x14ac:dyDescent="0.2">
      <c r="A9" s="5" t="s">
        <v>209</v>
      </c>
      <c r="B9" s="5" t="s">
        <v>210</v>
      </c>
      <c r="C9" s="5">
        <v>3</v>
      </c>
      <c r="D9" s="5" t="s">
        <v>211</v>
      </c>
      <c r="E9" s="5" t="s">
        <v>203</v>
      </c>
      <c r="F9" s="5"/>
      <c r="G9" s="5" t="s">
        <v>131</v>
      </c>
    </row>
    <row r="10" spans="1:7" ht="27.75" customHeight="1" x14ac:dyDescent="0.2">
      <c r="A10" s="5" t="s">
        <v>212</v>
      </c>
      <c r="B10" s="5" t="s">
        <v>213</v>
      </c>
      <c r="C10" s="5">
        <v>1</v>
      </c>
      <c r="D10" s="5" t="s">
        <v>214</v>
      </c>
      <c r="E10" s="5" t="s">
        <v>215</v>
      </c>
      <c r="F10" s="5"/>
      <c r="G10" s="5" t="s">
        <v>131</v>
      </c>
    </row>
    <row r="11" spans="1:7" ht="27.75" customHeight="1" x14ac:dyDescent="0.2">
      <c r="A11" s="5" t="s">
        <v>216</v>
      </c>
      <c r="B11" s="5" t="s">
        <v>217</v>
      </c>
      <c r="C11" s="5">
        <v>2</v>
      </c>
      <c r="D11" s="5" t="s">
        <v>218</v>
      </c>
      <c r="E11" s="5" t="s">
        <v>206</v>
      </c>
      <c r="F11" s="5"/>
      <c r="G11" s="5" t="s">
        <v>131</v>
      </c>
    </row>
    <row r="12" spans="1:7" x14ac:dyDescent="0.2">
      <c r="A12" s="4"/>
      <c r="B12" s="3" t="s">
        <v>219</v>
      </c>
      <c r="C12" s="3">
        <v>14</v>
      </c>
      <c r="D12" s="4"/>
      <c r="E12" s="4"/>
      <c r="F12" s="4"/>
      <c r="G12" s="4"/>
    </row>
    <row r="14" spans="1:7" x14ac:dyDescent="0.2">
      <c r="A14" s="8" t="s">
        <v>220</v>
      </c>
      <c r="B14" s="8"/>
      <c r="C14" s="8"/>
      <c r="D14" s="8"/>
      <c r="E14" s="8"/>
      <c r="F14" s="8"/>
      <c r="G14" s="8"/>
    </row>
    <row r="15" spans="1:7" x14ac:dyDescent="0.2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29</v>
      </c>
      <c r="G15" s="1" t="s">
        <v>30</v>
      </c>
    </row>
    <row r="16" spans="1:7" ht="27.75" customHeight="1" x14ac:dyDescent="0.2">
      <c r="A16" s="5" t="s">
        <v>221</v>
      </c>
      <c r="B16" s="5" t="s">
        <v>222</v>
      </c>
      <c r="C16" s="5">
        <v>2</v>
      </c>
      <c r="D16" s="5" t="s">
        <v>223</v>
      </c>
      <c r="E16" s="5" t="s">
        <v>224</v>
      </c>
      <c r="F16" s="5"/>
      <c r="G16" s="5" t="s">
        <v>131</v>
      </c>
    </row>
    <row r="17" spans="1:7" ht="27.75" customHeight="1" x14ac:dyDescent="0.2">
      <c r="A17" s="5" t="s">
        <v>225</v>
      </c>
      <c r="B17" s="5" t="s">
        <v>226</v>
      </c>
      <c r="C17" s="5">
        <v>2</v>
      </c>
      <c r="D17" s="5" t="s">
        <v>227</v>
      </c>
      <c r="E17" s="5" t="s">
        <v>221</v>
      </c>
      <c r="F17" s="5"/>
      <c r="G17" s="5" t="s">
        <v>131</v>
      </c>
    </row>
    <row r="18" spans="1:7" ht="27.75" customHeight="1" x14ac:dyDescent="0.2">
      <c r="A18" s="5" t="s">
        <v>228</v>
      </c>
      <c r="B18" s="5" t="s">
        <v>229</v>
      </c>
      <c r="C18" s="5">
        <v>2</v>
      </c>
      <c r="D18" s="5" t="s">
        <v>230</v>
      </c>
      <c r="E18" s="5" t="s">
        <v>225</v>
      </c>
      <c r="F18" s="5"/>
      <c r="G18" s="5" t="s">
        <v>131</v>
      </c>
    </row>
    <row r="19" spans="1:7" ht="27.75" customHeight="1" x14ac:dyDescent="0.2">
      <c r="A19" s="5" t="s">
        <v>231</v>
      </c>
      <c r="B19" s="5" t="s">
        <v>232</v>
      </c>
      <c r="C19" s="5">
        <v>2</v>
      </c>
      <c r="D19" s="5" t="s">
        <v>233</v>
      </c>
      <c r="E19" s="5" t="s">
        <v>228</v>
      </c>
      <c r="F19" s="5"/>
      <c r="G19" s="5" t="s">
        <v>131</v>
      </c>
    </row>
    <row r="20" spans="1:7" ht="27.75" customHeight="1" x14ac:dyDescent="0.2">
      <c r="A20" s="5" t="s">
        <v>234</v>
      </c>
      <c r="B20" s="5" t="s">
        <v>235</v>
      </c>
      <c r="C20" s="5">
        <v>1</v>
      </c>
      <c r="D20" s="5" t="s">
        <v>236</v>
      </c>
      <c r="E20" s="5" t="s">
        <v>237</v>
      </c>
      <c r="F20" s="5"/>
      <c r="G20" s="5" t="s">
        <v>131</v>
      </c>
    </row>
    <row r="21" spans="1:7" x14ac:dyDescent="0.2">
      <c r="A21" s="4"/>
      <c r="B21" s="3" t="s">
        <v>238</v>
      </c>
      <c r="C21" s="3">
        <v>9</v>
      </c>
      <c r="D21" s="4"/>
      <c r="E21" s="4"/>
      <c r="F21" s="4"/>
      <c r="G21" s="4"/>
    </row>
    <row r="23" spans="1:7" x14ac:dyDescent="0.2">
      <c r="A23" s="8" t="s">
        <v>239</v>
      </c>
      <c r="B23" s="8"/>
      <c r="C23" s="8"/>
      <c r="D23" s="8"/>
      <c r="E23" s="8"/>
      <c r="F23" s="8"/>
      <c r="G23" s="8"/>
    </row>
    <row r="24" spans="1:7" x14ac:dyDescent="0.2">
      <c r="A24" s="1" t="s">
        <v>24</v>
      </c>
      <c r="B24" s="1" t="s">
        <v>25</v>
      </c>
      <c r="C24" s="1" t="s">
        <v>26</v>
      </c>
      <c r="D24" s="1" t="s">
        <v>27</v>
      </c>
      <c r="E24" s="1" t="s">
        <v>28</v>
      </c>
      <c r="F24" s="1" t="s">
        <v>29</v>
      </c>
      <c r="G24" s="1" t="s">
        <v>30</v>
      </c>
    </row>
    <row r="25" spans="1:7" ht="27.75" customHeight="1" x14ac:dyDescent="0.2">
      <c r="A25" s="5" t="s">
        <v>240</v>
      </c>
      <c r="B25" s="5" t="s">
        <v>241</v>
      </c>
      <c r="C25" s="5">
        <v>3</v>
      </c>
      <c r="D25" s="5" t="s">
        <v>242</v>
      </c>
      <c r="E25" s="5" t="s">
        <v>209</v>
      </c>
      <c r="F25" s="5"/>
      <c r="G25" s="5" t="s">
        <v>131</v>
      </c>
    </row>
    <row r="26" spans="1:7" ht="27.75" customHeight="1" x14ac:dyDescent="0.2">
      <c r="A26" s="5" t="s">
        <v>243</v>
      </c>
      <c r="B26" s="5" t="s">
        <v>244</v>
      </c>
      <c r="C26" s="5">
        <v>2</v>
      </c>
      <c r="D26" s="5" t="s">
        <v>245</v>
      </c>
      <c r="E26" s="5" t="s">
        <v>246</v>
      </c>
      <c r="F26" s="5"/>
      <c r="G26" s="5" t="s">
        <v>131</v>
      </c>
    </row>
    <row r="27" spans="1:7" x14ac:dyDescent="0.2">
      <c r="A27" s="4"/>
      <c r="B27" s="3" t="s">
        <v>247</v>
      </c>
      <c r="C27" s="3">
        <v>5</v>
      </c>
      <c r="D27" s="4"/>
      <c r="E27" s="4"/>
      <c r="F27" s="4"/>
      <c r="G27" s="4"/>
    </row>
    <row r="29" spans="1:7" x14ac:dyDescent="0.2">
      <c r="A29" s="8" t="s">
        <v>248</v>
      </c>
      <c r="B29" s="8"/>
      <c r="C29" s="8"/>
      <c r="D29" s="8"/>
      <c r="E29" s="8"/>
      <c r="F29" s="8"/>
      <c r="G29" s="8"/>
    </row>
    <row r="30" spans="1:7" x14ac:dyDescent="0.2">
      <c r="A30" s="1" t="s">
        <v>24</v>
      </c>
      <c r="B30" s="1" t="s">
        <v>25</v>
      </c>
      <c r="C30" s="1" t="s">
        <v>26</v>
      </c>
      <c r="D30" s="1" t="s">
        <v>27</v>
      </c>
      <c r="E30" s="1" t="s">
        <v>28</v>
      </c>
      <c r="F30" s="1" t="s">
        <v>29</v>
      </c>
      <c r="G30" s="1" t="s">
        <v>30</v>
      </c>
    </row>
    <row r="31" spans="1:7" ht="27.75" customHeight="1" x14ac:dyDescent="0.2">
      <c r="A31" s="5" t="s">
        <v>249</v>
      </c>
      <c r="B31" s="5" t="s">
        <v>250</v>
      </c>
      <c r="C31" s="5">
        <v>3</v>
      </c>
      <c r="D31" s="5" t="s">
        <v>251</v>
      </c>
      <c r="E31" s="5" t="s">
        <v>49</v>
      </c>
      <c r="F31" s="5"/>
      <c r="G31" s="5" t="s">
        <v>131</v>
      </c>
    </row>
    <row r="32" spans="1:7" ht="27.75" customHeight="1" x14ac:dyDescent="0.2">
      <c r="A32" s="5" t="s">
        <v>252</v>
      </c>
      <c r="B32" s="5" t="s">
        <v>253</v>
      </c>
      <c r="C32" s="5">
        <v>2</v>
      </c>
      <c r="D32" s="5" t="s">
        <v>254</v>
      </c>
      <c r="E32" s="5" t="s">
        <v>249</v>
      </c>
      <c r="F32" s="5"/>
      <c r="G32" s="5" t="s">
        <v>131</v>
      </c>
    </row>
    <row r="33" spans="1:7" ht="42" customHeight="1" x14ac:dyDescent="0.2">
      <c r="A33" s="5" t="s">
        <v>255</v>
      </c>
      <c r="B33" s="5" t="s">
        <v>256</v>
      </c>
      <c r="C33" s="5">
        <v>5</v>
      </c>
      <c r="D33" s="5" t="s">
        <v>257</v>
      </c>
      <c r="E33" s="5" t="s">
        <v>258</v>
      </c>
      <c r="F33" s="5"/>
      <c r="G33" s="5" t="s">
        <v>131</v>
      </c>
    </row>
    <row r="34" spans="1:7" x14ac:dyDescent="0.2">
      <c r="A34" s="4"/>
      <c r="B34" s="3" t="s">
        <v>259</v>
      </c>
      <c r="C34" s="3">
        <v>10</v>
      </c>
      <c r="D34" s="4"/>
      <c r="E34" s="4"/>
      <c r="F34" s="4"/>
      <c r="G34" s="4"/>
    </row>
    <row r="36" spans="1:7" x14ac:dyDescent="0.2">
      <c r="A36" s="8" t="s">
        <v>260</v>
      </c>
      <c r="B36" s="8"/>
      <c r="C36" s="8"/>
      <c r="D36" s="8"/>
      <c r="E36" s="8"/>
      <c r="F36" s="8"/>
      <c r="G36" s="8"/>
    </row>
    <row r="37" spans="1:7" x14ac:dyDescent="0.2">
      <c r="A37" s="1" t="s">
        <v>24</v>
      </c>
      <c r="B37" s="1" t="s">
        <v>25</v>
      </c>
      <c r="C37" s="1" t="s">
        <v>26</v>
      </c>
      <c r="D37" s="1" t="s">
        <v>27</v>
      </c>
      <c r="E37" s="1" t="s">
        <v>28</v>
      </c>
      <c r="F37" s="1" t="s">
        <v>29</v>
      </c>
      <c r="G37" s="1" t="s">
        <v>30</v>
      </c>
    </row>
    <row r="38" spans="1:7" ht="27.75" customHeight="1" x14ac:dyDescent="0.2">
      <c r="A38" s="5" t="s">
        <v>261</v>
      </c>
      <c r="B38" s="5" t="s">
        <v>262</v>
      </c>
      <c r="C38" s="5">
        <v>2</v>
      </c>
      <c r="D38" s="5" t="s">
        <v>263</v>
      </c>
      <c r="E38" s="5" t="s">
        <v>209</v>
      </c>
      <c r="F38" s="5"/>
      <c r="G38" s="5" t="s">
        <v>131</v>
      </c>
    </row>
    <row r="39" spans="1:7" ht="27.75" customHeight="1" x14ac:dyDescent="0.2">
      <c r="A39" s="5" t="s">
        <v>264</v>
      </c>
      <c r="B39" s="5" t="s">
        <v>265</v>
      </c>
      <c r="C39" s="5">
        <v>1</v>
      </c>
      <c r="D39" s="5" t="s">
        <v>266</v>
      </c>
      <c r="E39" s="5" t="s">
        <v>267</v>
      </c>
      <c r="F39" s="5"/>
      <c r="G39" s="5" t="s">
        <v>131</v>
      </c>
    </row>
    <row r="40" spans="1:7" x14ac:dyDescent="0.2">
      <c r="A40" s="4"/>
      <c r="B40" s="3" t="s">
        <v>268</v>
      </c>
      <c r="C40" s="3">
        <v>3</v>
      </c>
      <c r="D40" s="4"/>
      <c r="E40" s="4"/>
      <c r="F40" s="4"/>
      <c r="G40" s="4"/>
    </row>
  </sheetData>
  <mergeCells count="7">
    <mergeCell ref="A29:G29"/>
    <mergeCell ref="A36:G36"/>
    <mergeCell ref="A1:G1"/>
    <mergeCell ref="A2:G2"/>
    <mergeCell ref="A4:G4"/>
    <mergeCell ref="A14:G14"/>
    <mergeCell ref="A23:G23"/>
  </mergeCells>
  <conditionalFormatting sqref="G6:G39">
    <cfRule type="cellIs" dxfId="34" priority="2" operator="equal">
      <formula>"No iniciado"</formula>
    </cfRule>
    <cfRule type="cellIs" dxfId="33" priority="3" operator="equal">
      <formula>"En progreso"</formula>
    </cfRule>
    <cfRule type="cellIs" dxfId="32" priority="4" operator="equal">
      <formula>"Bloqueado"</formula>
    </cfRule>
    <cfRule type="cellIs" dxfId="31" priority="5" operator="equal">
      <formula>"En revisión"</formula>
    </cfRule>
    <cfRule type="cellIs" dxfId="30" priority="6" operator="equal">
      <formula>"Completado"</formula>
    </cfRule>
  </conditionalFormatting>
  <dataValidations count="1">
    <dataValidation type="list" allowBlank="1" sqref="G6:G11 G16:G20 G25:G26 G31:G33 G38:G39" xr:uid="{00000000-0002-0000-0300-000000000000}">
      <formula1>"No iniciado,En progreso,Bloqueado,En revisión,Completado"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zoomScale="150" zoomScaleNormal="150" workbookViewId="0">
      <pane ySplit="4" topLeftCell="A5" activePane="bottomLeft" state="frozen"/>
      <selection pane="bottomLeft" sqref="A1:G1"/>
    </sheetView>
  </sheetViews>
  <sheetFormatPr baseColWidth="10" defaultColWidth="8.6640625" defaultRowHeight="15" x14ac:dyDescent="0.2"/>
  <cols>
    <col min="1" max="1" width="8" customWidth="1"/>
    <col min="2" max="2" width="55" customWidth="1"/>
    <col min="3" max="3" width="6" customWidth="1"/>
    <col min="4" max="4" width="60" customWidth="1"/>
    <col min="5" max="5" width="16" customWidth="1"/>
    <col min="6" max="6" width="14" customWidth="1"/>
    <col min="7" max="7" width="16" customWidth="1"/>
  </cols>
  <sheetData>
    <row r="1" spans="1:7" ht="16.5" customHeight="1" x14ac:dyDescent="0.2">
      <c r="A1" s="6" t="s">
        <v>11</v>
      </c>
      <c r="B1" s="6"/>
      <c r="C1" s="6"/>
      <c r="D1" s="6"/>
      <c r="E1" s="6"/>
      <c r="F1" s="6"/>
      <c r="G1" s="6"/>
    </row>
    <row r="2" spans="1:7" x14ac:dyDescent="0.2">
      <c r="A2" s="7" t="s">
        <v>269</v>
      </c>
      <c r="B2" s="7"/>
      <c r="C2" s="7"/>
      <c r="D2" s="7"/>
      <c r="E2" s="7"/>
      <c r="F2" s="7"/>
      <c r="G2" s="7"/>
    </row>
    <row r="4" spans="1:7" x14ac:dyDescent="0.2">
      <c r="A4" s="8" t="s">
        <v>270</v>
      </c>
      <c r="B4" s="8"/>
      <c r="C4" s="8"/>
      <c r="D4" s="8"/>
      <c r="E4" s="8"/>
      <c r="F4" s="8"/>
      <c r="G4" s="8"/>
    </row>
    <row r="5" spans="1:7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42" customHeight="1" x14ac:dyDescent="0.2">
      <c r="A6" s="5" t="s">
        <v>271</v>
      </c>
      <c r="B6" s="5" t="s">
        <v>272</v>
      </c>
      <c r="C6" s="5">
        <v>3</v>
      </c>
      <c r="D6" s="5" t="s">
        <v>273</v>
      </c>
      <c r="E6" s="5" t="s">
        <v>49</v>
      </c>
      <c r="F6" s="5"/>
      <c r="G6" s="5" t="s">
        <v>131</v>
      </c>
    </row>
    <row r="7" spans="1:7" ht="27.75" customHeight="1" x14ac:dyDescent="0.2">
      <c r="A7" s="5" t="s">
        <v>274</v>
      </c>
      <c r="B7" s="5" t="s">
        <v>275</v>
      </c>
      <c r="C7" s="5">
        <v>2</v>
      </c>
      <c r="D7" s="5" t="s">
        <v>276</v>
      </c>
      <c r="E7" s="5" t="s">
        <v>271</v>
      </c>
      <c r="F7" s="5"/>
      <c r="G7" s="5" t="s">
        <v>131</v>
      </c>
    </row>
    <row r="8" spans="1:7" ht="27.75" customHeight="1" x14ac:dyDescent="0.2">
      <c r="A8" s="5" t="s">
        <v>277</v>
      </c>
      <c r="B8" s="5" t="s">
        <v>278</v>
      </c>
      <c r="C8" s="5">
        <v>2</v>
      </c>
      <c r="D8" s="5" t="s">
        <v>279</v>
      </c>
      <c r="E8" s="5" t="s">
        <v>274</v>
      </c>
      <c r="F8" s="5"/>
      <c r="G8" s="5" t="s">
        <v>131</v>
      </c>
    </row>
    <row r="9" spans="1:7" x14ac:dyDescent="0.2">
      <c r="A9" s="4"/>
      <c r="B9" s="3" t="s">
        <v>280</v>
      </c>
      <c r="C9" s="3">
        <v>7</v>
      </c>
      <c r="D9" s="4"/>
      <c r="E9" s="4"/>
      <c r="F9" s="4"/>
      <c r="G9" s="4"/>
    </row>
    <row r="11" spans="1:7" x14ac:dyDescent="0.2">
      <c r="A11" s="8" t="s">
        <v>281</v>
      </c>
      <c r="B11" s="8"/>
      <c r="C11" s="8"/>
      <c r="D11" s="8"/>
      <c r="E11" s="8"/>
      <c r="F11" s="8"/>
      <c r="G11" s="8"/>
    </row>
    <row r="12" spans="1:7" x14ac:dyDescent="0.2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29</v>
      </c>
      <c r="G12" s="1" t="s">
        <v>30</v>
      </c>
    </row>
    <row r="13" spans="1:7" ht="27.75" customHeight="1" x14ac:dyDescent="0.2">
      <c r="A13" s="5" t="s">
        <v>282</v>
      </c>
      <c r="B13" s="5" t="s">
        <v>283</v>
      </c>
      <c r="C13" s="5">
        <v>2</v>
      </c>
      <c r="D13" s="5" t="s">
        <v>284</v>
      </c>
      <c r="E13" s="5" t="s">
        <v>277</v>
      </c>
      <c r="F13" s="5"/>
      <c r="G13" s="5" t="s">
        <v>131</v>
      </c>
    </row>
    <row r="14" spans="1:7" ht="27.75" customHeight="1" x14ac:dyDescent="0.2">
      <c r="A14" s="5" t="s">
        <v>285</v>
      </c>
      <c r="B14" s="5" t="s">
        <v>286</v>
      </c>
      <c r="C14" s="5">
        <v>2</v>
      </c>
      <c r="D14" s="5" t="s">
        <v>287</v>
      </c>
      <c r="E14" s="5" t="s">
        <v>282</v>
      </c>
      <c r="F14" s="5"/>
      <c r="G14" s="5" t="s">
        <v>131</v>
      </c>
    </row>
    <row r="15" spans="1:7" ht="27.75" customHeight="1" x14ac:dyDescent="0.2">
      <c r="A15" s="5" t="s">
        <v>288</v>
      </c>
      <c r="B15" s="5" t="s">
        <v>289</v>
      </c>
      <c r="C15" s="5">
        <v>1</v>
      </c>
      <c r="D15" s="5" t="s">
        <v>290</v>
      </c>
      <c r="E15" s="5" t="s">
        <v>285</v>
      </c>
      <c r="F15" s="5"/>
      <c r="G15" s="5" t="s">
        <v>131</v>
      </c>
    </row>
    <row r="16" spans="1:7" x14ac:dyDescent="0.2">
      <c r="A16" s="4"/>
      <c r="B16" s="3" t="s">
        <v>291</v>
      </c>
      <c r="C16" s="3">
        <v>5</v>
      </c>
      <c r="D16" s="4"/>
      <c r="E16" s="4"/>
      <c r="F16" s="4"/>
      <c r="G16" s="4"/>
    </row>
    <row r="18" spans="1:7" x14ac:dyDescent="0.2">
      <c r="A18" s="8" t="s">
        <v>292</v>
      </c>
      <c r="B18" s="8"/>
      <c r="C18" s="8"/>
      <c r="D18" s="8"/>
      <c r="E18" s="8"/>
      <c r="F18" s="8"/>
      <c r="G18" s="8"/>
    </row>
    <row r="19" spans="1:7" x14ac:dyDescent="0.2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28</v>
      </c>
      <c r="F19" s="1" t="s">
        <v>29</v>
      </c>
      <c r="G19" s="1" t="s">
        <v>30</v>
      </c>
    </row>
    <row r="20" spans="1:7" ht="27.75" customHeight="1" x14ac:dyDescent="0.2">
      <c r="A20" s="5" t="s">
        <v>293</v>
      </c>
      <c r="B20" s="5" t="s">
        <v>294</v>
      </c>
      <c r="C20" s="5">
        <v>5</v>
      </c>
      <c r="D20" s="5" t="s">
        <v>295</v>
      </c>
      <c r="E20" s="5" t="s">
        <v>296</v>
      </c>
      <c r="F20" s="5"/>
      <c r="G20" s="5" t="s">
        <v>131</v>
      </c>
    </row>
    <row r="21" spans="1:7" ht="27.75" customHeight="1" x14ac:dyDescent="0.2">
      <c r="A21" s="5" t="s">
        <v>297</v>
      </c>
      <c r="B21" s="5" t="s">
        <v>298</v>
      </c>
      <c r="C21" s="5">
        <v>3</v>
      </c>
      <c r="D21" s="5" t="s">
        <v>299</v>
      </c>
      <c r="E21" s="5" t="s">
        <v>300</v>
      </c>
      <c r="F21" s="5"/>
      <c r="G21" s="5" t="s">
        <v>131</v>
      </c>
    </row>
    <row r="22" spans="1:7" ht="27.75" customHeight="1" x14ac:dyDescent="0.2">
      <c r="A22" s="5" t="s">
        <v>301</v>
      </c>
      <c r="B22" s="5" t="s">
        <v>302</v>
      </c>
      <c r="C22" s="5">
        <v>2</v>
      </c>
      <c r="D22" s="5" t="s">
        <v>303</v>
      </c>
      <c r="E22" s="5" t="s">
        <v>293</v>
      </c>
      <c r="F22" s="5"/>
      <c r="G22" s="5" t="s">
        <v>131</v>
      </c>
    </row>
    <row r="23" spans="1:7" x14ac:dyDescent="0.2">
      <c r="A23" s="4"/>
      <c r="B23" s="3" t="s">
        <v>304</v>
      </c>
      <c r="C23" s="3">
        <v>10</v>
      </c>
      <c r="D23" s="4"/>
      <c r="E23" s="4"/>
      <c r="F23" s="4"/>
      <c r="G23" s="4"/>
    </row>
  </sheetData>
  <mergeCells count="5">
    <mergeCell ref="A1:G1"/>
    <mergeCell ref="A2:G2"/>
    <mergeCell ref="A4:G4"/>
    <mergeCell ref="A11:G11"/>
    <mergeCell ref="A18:G18"/>
  </mergeCells>
  <conditionalFormatting sqref="G6:G22">
    <cfRule type="cellIs" dxfId="29" priority="2" operator="equal">
      <formula>"No iniciado"</formula>
    </cfRule>
    <cfRule type="cellIs" dxfId="28" priority="3" operator="equal">
      <formula>"En progreso"</formula>
    </cfRule>
    <cfRule type="cellIs" dxfId="27" priority="4" operator="equal">
      <formula>"Bloqueado"</formula>
    </cfRule>
    <cfRule type="cellIs" dxfId="26" priority="5" operator="equal">
      <formula>"En revisión"</formula>
    </cfRule>
    <cfRule type="cellIs" dxfId="25" priority="6" operator="equal">
      <formula>"Completado"</formula>
    </cfRule>
  </conditionalFormatting>
  <dataValidations count="1">
    <dataValidation type="list" allowBlank="1" sqref="G6:G8 G13:G15 G20:G22" xr:uid="{00000000-0002-0000-0400-000000000000}">
      <formula1>"No iniciado,En progreso,Bloqueado,En revisión,Completado"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4"/>
  <sheetViews>
    <sheetView zoomScaleNormal="100" workbookViewId="0">
      <pane ySplit="4" topLeftCell="A14" activePane="bottomLeft" state="frozen"/>
      <selection pane="bottomLeft" sqref="A1:G1"/>
    </sheetView>
  </sheetViews>
  <sheetFormatPr baseColWidth="10" defaultColWidth="8.6640625" defaultRowHeight="15" x14ac:dyDescent="0.2"/>
  <cols>
    <col min="1" max="1" width="8" customWidth="1"/>
    <col min="2" max="2" width="55" customWidth="1"/>
    <col min="3" max="3" width="6" customWidth="1"/>
    <col min="4" max="4" width="60" customWidth="1"/>
    <col min="5" max="5" width="16" customWidth="1"/>
    <col min="6" max="6" width="14" customWidth="1"/>
    <col min="7" max="7" width="16" customWidth="1"/>
  </cols>
  <sheetData>
    <row r="1" spans="1:7" ht="16.5" customHeight="1" x14ac:dyDescent="0.2">
      <c r="A1" s="6" t="s">
        <v>13</v>
      </c>
      <c r="B1" s="6"/>
      <c r="C1" s="6"/>
      <c r="D1" s="6"/>
      <c r="E1" s="6"/>
      <c r="F1" s="6"/>
      <c r="G1" s="6"/>
    </row>
    <row r="2" spans="1:7" x14ac:dyDescent="0.2">
      <c r="A2" s="7" t="s">
        <v>305</v>
      </c>
      <c r="B2" s="7"/>
      <c r="C2" s="7"/>
      <c r="D2" s="7"/>
      <c r="E2" s="7"/>
      <c r="F2" s="7"/>
      <c r="G2" s="7"/>
    </row>
    <row r="4" spans="1:7" x14ac:dyDescent="0.2">
      <c r="A4" s="8" t="s">
        <v>306</v>
      </c>
      <c r="B4" s="8"/>
      <c r="C4" s="8"/>
      <c r="D4" s="8"/>
      <c r="E4" s="8"/>
      <c r="F4" s="8"/>
      <c r="G4" s="8"/>
    </row>
    <row r="5" spans="1:7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27.75" customHeight="1" x14ac:dyDescent="0.2">
      <c r="A6" s="5" t="s">
        <v>307</v>
      </c>
      <c r="B6" s="5" t="s">
        <v>308</v>
      </c>
      <c r="C6" s="5">
        <v>2</v>
      </c>
      <c r="D6" s="5" t="s">
        <v>309</v>
      </c>
      <c r="E6" s="5" t="s">
        <v>42</v>
      </c>
      <c r="F6" s="5"/>
      <c r="G6" s="5" t="s">
        <v>131</v>
      </c>
    </row>
    <row r="7" spans="1:7" ht="27.75" customHeight="1" x14ac:dyDescent="0.2">
      <c r="A7" s="5" t="s">
        <v>310</v>
      </c>
      <c r="B7" s="5" t="s">
        <v>311</v>
      </c>
      <c r="C7" s="5">
        <v>3</v>
      </c>
      <c r="D7" s="5" t="s">
        <v>312</v>
      </c>
      <c r="E7" s="5" t="s">
        <v>307</v>
      </c>
      <c r="F7" s="5"/>
      <c r="G7" s="5" t="s">
        <v>131</v>
      </c>
    </row>
    <row r="8" spans="1:7" ht="27.75" customHeight="1" x14ac:dyDescent="0.2">
      <c r="A8" s="5" t="s">
        <v>313</v>
      </c>
      <c r="B8" s="5" t="s">
        <v>314</v>
      </c>
      <c r="C8" s="5">
        <v>2</v>
      </c>
      <c r="D8" s="5" t="s">
        <v>315</v>
      </c>
      <c r="E8" s="5" t="s">
        <v>307</v>
      </c>
      <c r="F8" s="5"/>
      <c r="G8" s="5" t="s">
        <v>131</v>
      </c>
    </row>
    <row r="9" spans="1:7" ht="42" customHeight="1" x14ac:dyDescent="0.2">
      <c r="A9" s="5" t="s">
        <v>316</v>
      </c>
      <c r="B9" s="5" t="s">
        <v>317</v>
      </c>
      <c r="C9" s="5">
        <v>3</v>
      </c>
      <c r="D9" s="5" t="s">
        <v>318</v>
      </c>
      <c r="E9" s="5" t="s">
        <v>319</v>
      </c>
      <c r="F9" s="5"/>
      <c r="G9" s="5" t="s">
        <v>131</v>
      </c>
    </row>
    <row r="10" spans="1:7" ht="27.75" customHeight="1" x14ac:dyDescent="0.2">
      <c r="A10" s="5" t="s">
        <v>320</v>
      </c>
      <c r="B10" s="5" t="s">
        <v>321</v>
      </c>
      <c r="C10" s="5">
        <v>1</v>
      </c>
      <c r="D10" s="5" t="s">
        <v>322</v>
      </c>
      <c r="E10" s="5" t="s">
        <v>307</v>
      </c>
      <c r="F10" s="5"/>
      <c r="G10" s="5" t="s">
        <v>131</v>
      </c>
    </row>
    <row r="11" spans="1:7" x14ac:dyDescent="0.2">
      <c r="A11" s="4"/>
      <c r="B11" s="3" t="s">
        <v>323</v>
      </c>
      <c r="C11" s="3">
        <v>11</v>
      </c>
      <c r="D11" s="4"/>
      <c r="E11" s="4"/>
      <c r="F11" s="4"/>
      <c r="G11" s="4"/>
    </row>
    <row r="13" spans="1:7" x14ac:dyDescent="0.2">
      <c r="A13" s="8" t="s">
        <v>324</v>
      </c>
      <c r="B13" s="8"/>
      <c r="C13" s="8"/>
      <c r="D13" s="8"/>
      <c r="E13" s="8"/>
      <c r="F13" s="8"/>
      <c r="G13" s="8"/>
    </row>
    <row r="14" spans="1:7" x14ac:dyDescent="0.2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28</v>
      </c>
      <c r="F14" s="1" t="s">
        <v>29</v>
      </c>
      <c r="G14" s="1" t="s">
        <v>30</v>
      </c>
    </row>
    <row r="15" spans="1:7" ht="27.75" customHeight="1" x14ac:dyDescent="0.2">
      <c r="A15" s="5" t="s">
        <v>325</v>
      </c>
      <c r="B15" s="5" t="s">
        <v>326</v>
      </c>
      <c r="C15" s="5">
        <v>3</v>
      </c>
      <c r="D15" s="5" t="s">
        <v>327</v>
      </c>
      <c r="E15" s="5" t="s">
        <v>42</v>
      </c>
      <c r="F15" s="5"/>
      <c r="G15" s="5" t="s">
        <v>131</v>
      </c>
    </row>
    <row r="16" spans="1:7" ht="42" customHeight="1" x14ac:dyDescent="0.2">
      <c r="A16" s="5" t="s">
        <v>328</v>
      </c>
      <c r="B16" s="5" t="s">
        <v>329</v>
      </c>
      <c r="C16" s="5">
        <v>3</v>
      </c>
      <c r="D16" s="5" t="s">
        <v>330</v>
      </c>
      <c r="E16" s="5" t="s">
        <v>331</v>
      </c>
      <c r="F16" s="5"/>
      <c r="G16" s="5" t="s">
        <v>131</v>
      </c>
    </row>
    <row r="17" spans="1:7" ht="42" customHeight="1" x14ac:dyDescent="0.2">
      <c r="A17" s="5" t="s">
        <v>332</v>
      </c>
      <c r="B17" s="5" t="s">
        <v>333</v>
      </c>
      <c r="C17" s="5">
        <v>3</v>
      </c>
      <c r="D17" s="5" t="s">
        <v>334</v>
      </c>
      <c r="E17" s="5" t="s">
        <v>335</v>
      </c>
      <c r="F17" s="5"/>
      <c r="G17" s="5" t="s">
        <v>131</v>
      </c>
    </row>
    <row r="18" spans="1:7" ht="27.75" customHeight="1" x14ac:dyDescent="0.2">
      <c r="A18" s="5" t="s">
        <v>336</v>
      </c>
      <c r="B18" s="5" t="s">
        <v>337</v>
      </c>
      <c r="C18" s="5">
        <v>2</v>
      </c>
      <c r="D18" s="5" t="s">
        <v>338</v>
      </c>
      <c r="E18" s="5" t="s">
        <v>339</v>
      </c>
      <c r="F18" s="5"/>
      <c r="G18" s="5" t="s">
        <v>131</v>
      </c>
    </row>
    <row r="19" spans="1:7" ht="27.75" customHeight="1" x14ac:dyDescent="0.2">
      <c r="A19" s="5" t="s">
        <v>340</v>
      </c>
      <c r="B19" s="5" t="s">
        <v>341</v>
      </c>
      <c r="C19" s="5">
        <v>5</v>
      </c>
      <c r="D19" s="5" t="s">
        <v>342</v>
      </c>
      <c r="E19" s="5" t="s">
        <v>325</v>
      </c>
      <c r="F19" s="5"/>
      <c r="G19" s="5" t="s">
        <v>131</v>
      </c>
    </row>
    <row r="20" spans="1:7" ht="27.75" customHeight="1" x14ac:dyDescent="0.2">
      <c r="A20" s="5" t="s">
        <v>343</v>
      </c>
      <c r="B20" s="5" t="s">
        <v>344</v>
      </c>
      <c r="C20" s="5">
        <v>3</v>
      </c>
      <c r="D20" s="5" t="s">
        <v>345</v>
      </c>
      <c r="E20" s="5" t="s">
        <v>346</v>
      </c>
      <c r="F20" s="5"/>
      <c r="G20" s="5" t="s">
        <v>131</v>
      </c>
    </row>
    <row r="21" spans="1:7" ht="27.75" customHeight="1" x14ac:dyDescent="0.2">
      <c r="A21" s="5" t="s">
        <v>347</v>
      </c>
      <c r="B21" s="5" t="s">
        <v>348</v>
      </c>
      <c r="C21" s="5">
        <v>2</v>
      </c>
      <c r="D21" s="5" t="s">
        <v>349</v>
      </c>
      <c r="E21" s="5" t="s">
        <v>350</v>
      </c>
      <c r="F21" s="5"/>
      <c r="G21" s="5" t="s">
        <v>131</v>
      </c>
    </row>
    <row r="22" spans="1:7" ht="27.75" customHeight="1" x14ac:dyDescent="0.2">
      <c r="A22" s="5" t="s">
        <v>351</v>
      </c>
      <c r="B22" s="5" t="s">
        <v>352</v>
      </c>
      <c r="C22" s="5">
        <v>1</v>
      </c>
      <c r="D22" s="5" t="s">
        <v>353</v>
      </c>
      <c r="E22" s="5" t="s">
        <v>328</v>
      </c>
      <c r="F22" s="5"/>
      <c r="G22" s="5" t="s">
        <v>131</v>
      </c>
    </row>
    <row r="23" spans="1:7" x14ac:dyDescent="0.2">
      <c r="A23" s="4"/>
      <c r="B23" s="3" t="s">
        <v>354</v>
      </c>
      <c r="C23" s="3">
        <v>22</v>
      </c>
      <c r="D23" s="4"/>
      <c r="E23" s="4"/>
      <c r="F23" s="4"/>
      <c r="G23" s="4"/>
    </row>
    <row r="25" spans="1:7" x14ac:dyDescent="0.2">
      <c r="A25" s="8" t="s">
        <v>355</v>
      </c>
      <c r="B25" s="8"/>
      <c r="C25" s="8"/>
      <c r="D25" s="8"/>
      <c r="E25" s="8"/>
      <c r="F25" s="8"/>
      <c r="G25" s="8"/>
    </row>
    <row r="26" spans="1:7" x14ac:dyDescent="0.2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28</v>
      </c>
      <c r="F26" s="1" t="s">
        <v>29</v>
      </c>
      <c r="G26" s="1" t="s">
        <v>30</v>
      </c>
    </row>
    <row r="27" spans="1:7" ht="27.75" customHeight="1" x14ac:dyDescent="0.2">
      <c r="A27" s="5" t="s">
        <v>356</v>
      </c>
      <c r="B27" s="5" t="s">
        <v>357</v>
      </c>
      <c r="C27" s="5">
        <v>3</v>
      </c>
      <c r="D27" s="5" t="s">
        <v>358</v>
      </c>
      <c r="E27" s="5" t="s">
        <v>42</v>
      </c>
      <c r="F27" s="5"/>
      <c r="G27" s="5" t="s">
        <v>131</v>
      </c>
    </row>
    <row r="28" spans="1:7" ht="27.75" customHeight="1" x14ac:dyDescent="0.2">
      <c r="A28" s="5" t="s">
        <v>359</v>
      </c>
      <c r="B28" s="5" t="s">
        <v>360</v>
      </c>
      <c r="C28" s="5">
        <v>2</v>
      </c>
      <c r="D28" s="5" t="s">
        <v>361</v>
      </c>
      <c r="E28" s="5" t="s">
        <v>362</v>
      </c>
      <c r="F28" s="5"/>
      <c r="G28" s="5" t="s">
        <v>131</v>
      </c>
    </row>
    <row r="29" spans="1:7" ht="27.75" customHeight="1" x14ac:dyDescent="0.2">
      <c r="A29" s="5" t="s">
        <v>363</v>
      </c>
      <c r="B29" s="5" t="s">
        <v>364</v>
      </c>
      <c r="C29" s="5">
        <v>1</v>
      </c>
      <c r="D29" s="5" t="s">
        <v>365</v>
      </c>
      <c r="E29" s="5" t="s">
        <v>366</v>
      </c>
      <c r="F29" s="5"/>
      <c r="G29" s="5" t="s">
        <v>131</v>
      </c>
    </row>
    <row r="30" spans="1:7" ht="42" customHeight="1" x14ac:dyDescent="0.2">
      <c r="A30" s="5" t="s">
        <v>367</v>
      </c>
      <c r="B30" s="5" t="s">
        <v>368</v>
      </c>
      <c r="C30" s="5">
        <v>3</v>
      </c>
      <c r="D30" s="5" t="s">
        <v>369</v>
      </c>
      <c r="E30" s="5" t="s">
        <v>370</v>
      </c>
      <c r="F30" s="5"/>
      <c r="G30" s="5" t="s">
        <v>131</v>
      </c>
    </row>
    <row r="31" spans="1:7" ht="27.75" customHeight="1" x14ac:dyDescent="0.2">
      <c r="A31" s="5" t="s">
        <v>371</v>
      </c>
      <c r="B31" s="5" t="s">
        <v>372</v>
      </c>
      <c r="C31" s="5">
        <v>5</v>
      </c>
      <c r="D31" s="5" t="s">
        <v>373</v>
      </c>
      <c r="E31" s="5" t="s">
        <v>374</v>
      </c>
      <c r="F31" s="5"/>
      <c r="G31" s="5" t="s">
        <v>131</v>
      </c>
    </row>
    <row r="32" spans="1:7" ht="27.75" customHeight="1" x14ac:dyDescent="0.2">
      <c r="A32" s="5" t="s">
        <v>375</v>
      </c>
      <c r="B32" s="5" t="s">
        <v>376</v>
      </c>
      <c r="C32" s="5">
        <v>3</v>
      </c>
      <c r="D32" s="5" t="s">
        <v>377</v>
      </c>
      <c r="E32" s="5" t="s">
        <v>378</v>
      </c>
      <c r="F32" s="5"/>
      <c r="G32" s="5" t="s">
        <v>131</v>
      </c>
    </row>
    <row r="33" spans="1:7" ht="27.75" customHeight="1" x14ac:dyDescent="0.2">
      <c r="A33" s="5" t="s">
        <v>379</v>
      </c>
      <c r="B33" s="5" t="s">
        <v>380</v>
      </c>
      <c r="C33" s="5">
        <v>1</v>
      </c>
      <c r="D33" s="5" t="s">
        <v>381</v>
      </c>
      <c r="E33" s="5" t="s">
        <v>356</v>
      </c>
      <c r="F33" s="5"/>
      <c r="G33" s="5" t="s">
        <v>131</v>
      </c>
    </row>
    <row r="34" spans="1:7" x14ac:dyDescent="0.2">
      <c r="A34" s="4"/>
      <c r="B34" s="3" t="s">
        <v>382</v>
      </c>
      <c r="C34" s="3">
        <v>18</v>
      </c>
      <c r="D34" s="4"/>
      <c r="E34" s="4"/>
      <c r="F34" s="4"/>
      <c r="G34" s="4"/>
    </row>
  </sheetData>
  <mergeCells count="5">
    <mergeCell ref="A1:G1"/>
    <mergeCell ref="A2:G2"/>
    <mergeCell ref="A4:G4"/>
    <mergeCell ref="A13:G13"/>
    <mergeCell ref="A25:G25"/>
  </mergeCells>
  <conditionalFormatting sqref="G6:G33">
    <cfRule type="cellIs" dxfId="24" priority="2" operator="equal">
      <formula>"No iniciado"</formula>
    </cfRule>
    <cfRule type="cellIs" dxfId="23" priority="3" operator="equal">
      <formula>"En progreso"</formula>
    </cfRule>
    <cfRule type="cellIs" dxfId="22" priority="4" operator="equal">
      <formula>"Bloqueado"</formula>
    </cfRule>
    <cfRule type="cellIs" dxfId="21" priority="5" operator="equal">
      <formula>"En revisión"</formula>
    </cfRule>
    <cfRule type="cellIs" dxfId="20" priority="6" operator="equal">
      <formula>"Completado"</formula>
    </cfRule>
  </conditionalFormatting>
  <dataValidations count="1">
    <dataValidation type="list" allowBlank="1" sqref="G6:G10 G15:G22 G27:G33" xr:uid="{00000000-0002-0000-0500-000000000000}">
      <formula1>"No iniciado,En progreso,Bloqueado,En revisión,Completado"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tabSelected="1" zoomScale="170" zoomScaleNormal="170" workbookViewId="0">
      <pane ySplit="4" topLeftCell="A17" activePane="bottomLeft" state="frozen"/>
      <selection pane="bottomLeft" activeCell="G24" sqref="G24"/>
    </sheetView>
  </sheetViews>
  <sheetFormatPr baseColWidth="10" defaultColWidth="8.6640625" defaultRowHeight="15" x14ac:dyDescent="0.2"/>
  <cols>
    <col min="1" max="1" width="8" customWidth="1"/>
    <col min="2" max="2" width="55" customWidth="1"/>
    <col min="3" max="3" width="6" customWidth="1"/>
    <col min="4" max="4" width="60" customWidth="1"/>
    <col min="5" max="5" width="16" customWidth="1"/>
    <col min="6" max="6" width="14" customWidth="1"/>
    <col min="7" max="7" width="16" customWidth="1"/>
  </cols>
  <sheetData>
    <row r="1" spans="1:7" ht="16.5" customHeight="1" x14ac:dyDescent="0.2">
      <c r="A1" s="6" t="s">
        <v>15</v>
      </c>
      <c r="B1" s="6"/>
      <c r="C1" s="6"/>
      <c r="D1" s="6"/>
      <c r="E1" s="6"/>
      <c r="F1" s="6"/>
      <c r="G1" s="6"/>
    </row>
    <row r="2" spans="1:7" x14ac:dyDescent="0.2">
      <c r="A2" s="7" t="s">
        <v>383</v>
      </c>
      <c r="B2" s="7"/>
      <c r="C2" s="7"/>
      <c r="D2" s="7"/>
      <c r="E2" s="7"/>
      <c r="F2" s="7"/>
      <c r="G2" s="7"/>
    </row>
    <row r="4" spans="1:7" x14ac:dyDescent="0.2">
      <c r="A4" s="8" t="s">
        <v>384</v>
      </c>
      <c r="B4" s="8"/>
      <c r="C4" s="8"/>
      <c r="D4" s="8"/>
      <c r="E4" s="8"/>
      <c r="F4" s="8"/>
      <c r="G4" s="8"/>
    </row>
    <row r="5" spans="1:7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30" customHeight="1" x14ac:dyDescent="0.2">
      <c r="A6" s="5" t="s">
        <v>385</v>
      </c>
      <c r="B6" s="5" t="s">
        <v>386</v>
      </c>
      <c r="C6" s="5">
        <v>2</v>
      </c>
      <c r="D6" s="5" t="s">
        <v>387</v>
      </c>
      <c r="E6" s="5" t="s">
        <v>34</v>
      </c>
      <c r="F6" s="5"/>
      <c r="G6" s="5" t="s">
        <v>131</v>
      </c>
    </row>
    <row r="7" spans="1:7" ht="30" customHeight="1" x14ac:dyDescent="0.2">
      <c r="A7" s="5" t="s">
        <v>388</v>
      </c>
      <c r="B7" s="5" t="s">
        <v>389</v>
      </c>
      <c r="C7" s="5">
        <v>3</v>
      </c>
      <c r="D7" s="5" t="s">
        <v>390</v>
      </c>
      <c r="E7" s="5" t="s">
        <v>34</v>
      </c>
      <c r="F7" s="5"/>
      <c r="G7" s="5" t="s">
        <v>131</v>
      </c>
    </row>
    <row r="8" spans="1:7" ht="30" customHeight="1" x14ac:dyDescent="0.2">
      <c r="A8" s="5" t="s">
        <v>391</v>
      </c>
      <c r="B8" s="5" t="s">
        <v>392</v>
      </c>
      <c r="C8" s="5">
        <v>2</v>
      </c>
      <c r="D8" s="5" t="s">
        <v>393</v>
      </c>
      <c r="E8" s="5" t="s">
        <v>34</v>
      </c>
      <c r="F8" s="5"/>
      <c r="G8" s="5" t="s">
        <v>131</v>
      </c>
    </row>
    <row r="9" spans="1:7" ht="30" customHeight="1" x14ac:dyDescent="0.2">
      <c r="A9" s="5" t="s">
        <v>394</v>
      </c>
      <c r="B9" s="5" t="s">
        <v>395</v>
      </c>
      <c r="C9" s="5">
        <v>3</v>
      </c>
      <c r="D9" s="5" t="s">
        <v>396</v>
      </c>
      <c r="E9" s="5" t="s">
        <v>397</v>
      </c>
      <c r="F9" s="5"/>
      <c r="G9" s="5" t="s">
        <v>131</v>
      </c>
    </row>
    <row r="10" spans="1:7" ht="30" customHeight="1" x14ac:dyDescent="0.2">
      <c r="A10" s="5" t="s">
        <v>398</v>
      </c>
      <c r="B10" s="5" t="s">
        <v>399</v>
      </c>
      <c r="C10" s="5">
        <v>2</v>
      </c>
      <c r="D10" s="5" t="s">
        <v>400</v>
      </c>
      <c r="E10" s="5" t="s">
        <v>394</v>
      </c>
      <c r="F10" s="5"/>
      <c r="G10" s="5" t="s">
        <v>131</v>
      </c>
    </row>
    <row r="11" spans="1:7" ht="30" customHeight="1" x14ac:dyDescent="0.2">
      <c r="A11" s="5" t="s">
        <v>401</v>
      </c>
      <c r="B11" s="5" t="s">
        <v>402</v>
      </c>
      <c r="C11" s="5">
        <v>2</v>
      </c>
      <c r="D11" s="5" t="s">
        <v>403</v>
      </c>
      <c r="E11" s="5" t="s">
        <v>34</v>
      </c>
      <c r="F11" s="5"/>
      <c r="G11" s="5" t="s">
        <v>131</v>
      </c>
    </row>
    <row r="12" spans="1:7" ht="30" customHeight="1" x14ac:dyDescent="0.2">
      <c r="A12" s="5" t="s">
        <v>404</v>
      </c>
      <c r="B12" s="5" t="s">
        <v>405</v>
      </c>
      <c r="C12" s="5">
        <v>1</v>
      </c>
      <c r="D12" s="5" t="s">
        <v>406</v>
      </c>
      <c r="E12" s="5" t="s">
        <v>398</v>
      </c>
      <c r="F12" s="5"/>
      <c r="G12" s="5" t="s">
        <v>131</v>
      </c>
    </row>
    <row r="13" spans="1:7" ht="30" customHeight="1" x14ac:dyDescent="0.2">
      <c r="A13" s="5" t="s">
        <v>407</v>
      </c>
      <c r="B13" s="5" t="s">
        <v>408</v>
      </c>
      <c r="C13" s="5">
        <v>2</v>
      </c>
      <c r="D13" s="5" t="s">
        <v>409</v>
      </c>
      <c r="E13" s="5" t="s">
        <v>410</v>
      </c>
      <c r="F13" s="5"/>
      <c r="G13" s="5" t="s">
        <v>131</v>
      </c>
    </row>
    <row r="14" spans="1:7" ht="27.75" customHeight="1" x14ac:dyDescent="0.2">
      <c r="A14" s="5"/>
      <c r="B14" s="5" t="s">
        <v>411</v>
      </c>
      <c r="C14" s="5">
        <v>17</v>
      </c>
      <c r="D14" s="5"/>
      <c r="E14" s="5"/>
      <c r="F14" s="5"/>
      <c r="G14" s="5"/>
    </row>
    <row r="15" spans="1:7" ht="27.75" customHeight="1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9" t="s">
        <v>412</v>
      </c>
      <c r="B16" s="9"/>
      <c r="C16" s="9"/>
      <c r="D16" s="9"/>
      <c r="E16" s="9"/>
      <c r="F16" s="9"/>
      <c r="G16" s="9"/>
    </row>
    <row r="17" spans="1:7" ht="27.75" customHeight="1" x14ac:dyDescent="0.2">
      <c r="A17" s="1" t="s">
        <v>24</v>
      </c>
      <c r="B17" s="1" t="s">
        <v>25</v>
      </c>
      <c r="C17" s="1" t="s">
        <v>26</v>
      </c>
      <c r="D17" s="1" t="s">
        <v>27</v>
      </c>
      <c r="E17" s="1" t="s">
        <v>28</v>
      </c>
      <c r="F17" s="1" t="s">
        <v>29</v>
      </c>
      <c r="G17" s="1" t="s">
        <v>30</v>
      </c>
    </row>
    <row r="18" spans="1:7" ht="42" customHeight="1" x14ac:dyDescent="0.2">
      <c r="A18" s="5" t="s">
        <v>413</v>
      </c>
      <c r="B18" s="5" t="s">
        <v>414</v>
      </c>
      <c r="C18" s="5">
        <v>2</v>
      </c>
      <c r="D18" s="5" t="s">
        <v>415</v>
      </c>
      <c r="E18" s="5" t="s">
        <v>73</v>
      </c>
      <c r="F18" s="5"/>
      <c r="G18" s="5" t="s">
        <v>35</v>
      </c>
    </row>
    <row r="19" spans="1:7" ht="38" customHeight="1" x14ac:dyDescent="0.2">
      <c r="A19" s="5" t="s">
        <v>416</v>
      </c>
      <c r="B19" s="5" t="s">
        <v>417</v>
      </c>
      <c r="C19" s="5">
        <v>2</v>
      </c>
      <c r="D19" s="5" t="s">
        <v>418</v>
      </c>
      <c r="E19" s="5" t="s">
        <v>119</v>
      </c>
      <c r="F19" s="5"/>
      <c r="G19" s="5" t="s">
        <v>35</v>
      </c>
    </row>
    <row r="20" spans="1:7" ht="30" customHeight="1" x14ac:dyDescent="0.2">
      <c r="A20" s="5" t="s">
        <v>419</v>
      </c>
      <c r="B20" s="5" t="s">
        <v>420</v>
      </c>
      <c r="C20" s="5">
        <v>5</v>
      </c>
      <c r="D20" s="5" t="s">
        <v>421</v>
      </c>
      <c r="E20" s="5" t="s">
        <v>422</v>
      </c>
      <c r="F20" s="5"/>
      <c r="G20" s="5" t="s">
        <v>35</v>
      </c>
    </row>
    <row r="21" spans="1:7" ht="38" customHeight="1" x14ac:dyDescent="0.2">
      <c r="A21" s="5" t="s">
        <v>423</v>
      </c>
      <c r="B21" s="5" t="s">
        <v>424</v>
      </c>
      <c r="C21" s="5">
        <v>5</v>
      </c>
      <c r="D21" s="5" t="s">
        <v>425</v>
      </c>
      <c r="E21" s="5" t="s">
        <v>413</v>
      </c>
      <c r="F21" s="5"/>
      <c r="G21" s="5" t="s">
        <v>35</v>
      </c>
    </row>
    <row r="22" spans="1:7" ht="35" customHeight="1" x14ac:dyDescent="0.2">
      <c r="A22" s="5" t="s">
        <v>426</v>
      </c>
      <c r="B22" s="5" t="s">
        <v>427</v>
      </c>
      <c r="C22" s="5">
        <v>3</v>
      </c>
      <c r="D22" s="5" t="s">
        <v>428</v>
      </c>
      <c r="E22" s="5" t="s">
        <v>413</v>
      </c>
      <c r="F22" s="5"/>
      <c r="G22" s="5" t="s">
        <v>35</v>
      </c>
    </row>
    <row r="23" spans="1:7" ht="42" customHeight="1" x14ac:dyDescent="0.2">
      <c r="A23" s="5" t="s">
        <v>429</v>
      </c>
      <c r="B23" s="5" t="s">
        <v>430</v>
      </c>
      <c r="C23" s="5">
        <v>3</v>
      </c>
      <c r="D23" s="5" t="s">
        <v>431</v>
      </c>
      <c r="E23" s="5" t="s">
        <v>49</v>
      </c>
      <c r="F23" s="5"/>
      <c r="G23" s="5" t="s">
        <v>35</v>
      </c>
    </row>
    <row r="24" spans="1:7" ht="37" customHeight="1" x14ac:dyDescent="0.2">
      <c r="A24" s="5" t="s">
        <v>432</v>
      </c>
      <c r="B24" s="5" t="s">
        <v>433</v>
      </c>
      <c r="C24" s="5">
        <v>3</v>
      </c>
      <c r="D24" s="5" t="s">
        <v>434</v>
      </c>
      <c r="E24" s="5" t="s">
        <v>49</v>
      </c>
      <c r="F24" s="5"/>
      <c r="G24" s="5" t="s">
        <v>35</v>
      </c>
    </row>
    <row r="25" spans="1:7" ht="27.75" customHeight="1" x14ac:dyDescent="0.2">
      <c r="A25" s="5"/>
      <c r="B25" s="5" t="s">
        <v>435</v>
      </c>
      <c r="C25" s="5">
        <v>23</v>
      </c>
      <c r="D25" s="5"/>
      <c r="E25" s="5"/>
      <c r="F25" s="5"/>
      <c r="G25" s="5"/>
    </row>
    <row r="26" spans="1:7" ht="27.75" customHeight="1" x14ac:dyDescent="0.2">
      <c r="A26" s="5"/>
      <c r="B26" s="5"/>
      <c r="C26" s="5"/>
      <c r="D26" s="5"/>
      <c r="E26" s="5"/>
      <c r="F26" s="5"/>
      <c r="G26" s="5"/>
    </row>
    <row r="27" spans="1:7" ht="42" customHeight="1" x14ac:dyDescent="0.2">
      <c r="A27" s="9" t="s">
        <v>436</v>
      </c>
      <c r="B27" s="9"/>
      <c r="C27" s="9"/>
      <c r="D27" s="9"/>
      <c r="E27" s="9"/>
      <c r="F27" s="9"/>
      <c r="G27" s="9"/>
    </row>
    <row r="28" spans="1:7" x14ac:dyDescent="0.2">
      <c r="A28" s="1" t="s">
        <v>24</v>
      </c>
      <c r="B28" s="1" t="s">
        <v>25</v>
      </c>
      <c r="C28" s="1" t="s">
        <v>26</v>
      </c>
      <c r="D28" s="1" t="s">
        <v>27</v>
      </c>
      <c r="E28" s="1" t="s">
        <v>28</v>
      </c>
      <c r="F28" s="1" t="s">
        <v>29</v>
      </c>
      <c r="G28" s="1" t="s">
        <v>30</v>
      </c>
    </row>
    <row r="29" spans="1:7" ht="30" customHeight="1" x14ac:dyDescent="0.2">
      <c r="A29" s="5" t="s">
        <v>437</v>
      </c>
      <c r="B29" s="5" t="s">
        <v>438</v>
      </c>
      <c r="C29" s="5">
        <v>2</v>
      </c>
      <c r="D29" s="5" t="s">
        <v>439</v>
      </c>
      <c r="E29" s="5" t="s">
        <v>34</v>
      </c>
      <c r="F29" s="5"/>
      <c r="G29" s="5" t="s">
        <v>131</v>
      </c>
    </row>
    <row r="30" spans="1:7" ht="30" customHeight="1" x14ac:dyDescent="0.2">
      <c r="A30" s="5" t="s">
        <v>440</v>
      </c>
      <c r="B30" s="5" t="s">
        <v>441</v>
      </c>
      <c r="C30" s="5">
        <v>3</v>
      </c>
      <c r="D30" s="5" t="s">
        <v>442</v>
      </c>
      <c r="E30" s="5" t="s">
        <v>34</v>
      </c>
      <c r="F30" s="5"/>
      <c r="G30" s="5" t="s">
        <v>131</v>
      </c>
    </row>
    <row r="31" spans="1:7" ht="30" customHeight="1" x14ac:dyDescent="0.2">
      <c r="A31" s="5" t="s">
        <v>443</v>
      </c>
      <c r="B31" s="5" t="s">
        <v>444</v>
      </c>
      <c r="C31" s="5">
        <v>2</v>
      </c>
      <c r="D31" s="5" t="s">
        <v>445</v>
      </c>
      <c r="E31" s="5" t="s">
        <v>34</v>
      </c>
      <c r="F31" s="5"/>
      <c r="G31" s="5" t="s">
        <v>131</v>
      </c>
    </row>
    <row r="32" spans="1:7" ht="30" customHeight="1" x14ac:dyDescent="0.2">
      <c r="A32" s="5" t="s">
        <v>446</v>
      </c>
      <c r="B32" s="5" t="s">
        <v>447</v>
      </c>
      <c r="C32" s="5">
        <v>1</v>
      </c>
      <c r="D32" s="5" t="s">
        <v>448</v>
      </c>
      <c r="E32" s="5" t="s">
        <v>34</v>
      </c>
      <c r="F32" s="5"/>
      <c r="G32" s="5" t="s">
        <v>131</v>
      </c>
    </row>
    <row r="33" spans="1:7" x14ac:dyDescent="0.2">
      <c r="A33" s="5"/>
      <c r="B33" s="5" t="s">
        <v>449</v>
      </c>
      <c r="C33" s="5">
        <v>8</v>
      </c>
      <c r="D33" s="5"/>
      <c r="E33" s="5"/>
      <c r="F33" s="5"/>
      <c r="G33" s="5"/>
    </row>
  </sheetData>
  <mergeCells count="5">
    <mergeCell ref="A1:G1"/>
    <mergeCell ref="A2:G2"/>
    <mergeCell ref="A4:G4"/>
    <mergeCell ref="A16:G16"/>
    <mergeCell ref="A27:G27"/>
  </mergeCells>
  <conditionalFormatting sqref="G6:G27">
    <cfRule type="cellIs" dxfId="19" priority="26" operator="equal">
      <formula>"Completado"</formula>
    </cfRule>
    <cfRule type="cellIs" dxfId="18" priority="25" operator="equal">
      <formula>"En revisión"</formula>
    </cfRule>
    <cfRule type="cellIs" dxfId="17" priority="24" operator="equal">
      <formula>"Bloqueado"</formula>
    </cfRule>
    <cfRule type="cellIs" dxfId="16" priority="23" operator="equal">
      <formula>"En progreso"</formula>
    </cfRule>
    <cfRule type="cellIs" dxfId="15" priority="22" operator="equal">
      <formula>"No iniciado"</formula>
    </cfRule>
  </conditionalFormatting>
  <conditionalFormatting sqref="G29:G32">
    <cfRule type="cellIs" dxfId="14" priority="1" operator="equal">
      <formula>"No iniciado"</formula>
    </cfRule>
    <cfRule type="cellIs" dxfId="13" priority="5" operator="equal">
      <formula>"Completado"</formula>
    </cfRule>
    <cfRule type="cellIs" dxfId="12" priority="4" operator="equal">
      <formula>"En revisión"</formula>
    </cfRule>
    <cfRule type="cellIs" dxfId="11" priority="3" operator="equal">
      <formula>"Bloqueado"</formula>
    </cfRule>
    <cfRule type="cellIs" dxfId="10" priority="2" operator="equal">
      <formula>"En progreso"</formula>
    </cfRule>
  </conditionalFormatting>
  <dataValidations count="1">
    <dataValidation type="list" allowBlank="1" sqref="G6:G9 G14:G27 G29:G32" xr:uid="{00000000-0002-0000-0600-000000000000}">
      <formula1>"No iniciado,En progreso,Bloqueado,En revisión,Completado"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zoomScaleNormal="100" workbookViewId="0">
      <pane ySplit="4" topLeftCell="A5" activePane="bottomLeft" state="frozen"/>
      <selection pane="bottomLeft" sqref="A1:G1"/>
    </sheetView>
  </sheetViews>
  <sheetFormatPr baseColWidth="10" defaultColWidth="8.6640625" defaultRowHeight="15" x14ac:dyDescent="0.2"/>
  <cols>
    <col min="1" max="1" width="8" customWidth="1"/>
    <col min="2" max="2" width="55" customWidth="1"/>
    <col min="3" max="3" width="6" customWidth="1"/>
    <col min="4" max="4" width="60" customWidth="1"/>
    <col min="5" max="5" width="16" customWidth="1"/>
    <col min="6" max="6" width="14" customWidth="1"/>
    <col min="7" max="7" width="16" customWidth="1"/>
  </cols>
  <sheetData>
    <row r="1" spans="1:7" ht="16.5" customHeight="1" x14ac:dyDescent="0.2">
      <c r="A1" s="6" t="s">
        <v>17</v>
      </c>
      <c r="B1" s="6"/>
      <c r="C1" s="6"/>
      <c r="D1" s="6"/>
      <c r="E1" s="6"/>
      <c r="F1" s="6"/>
      <c r="G1" s="6"/>
    </row>
    <row r="2" spans="1:7" x14ac:dyDescent="0.2">
      <c r="A2" s="7" t="s">
        <v>450</v>
      </c>
      <c r="B2" s="7"/>
      <c r="C2" s="7"/>
      <c r="D2" s="7"/>
      <c r="E2" s="7"/>
      <c r="F2" s="7"/>
      <c r="G2" s="7"/>
    </row>
    <row r="4" spans="1:7" x14ac:dyDescent="0.2">
      <c r="A4" s="8" t="s">
        <v>451</v>
      </c>
      <c r="B4" s="8"/>
      <c r="C4" s="8"/>
      <c r="D4" s="8"/>
      <c r="E4" s="8"/>
      <c r="F4" s="8"/>
      <c r="G4" s="8"/>
    </row>
    <row r="5" spans="1:7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27.75" customHeight="1" x14ac:dyDescent="0.2">
      <c r="A6" s="5" t="s">
        <v>452</v>
      </c>
      <c r="B6" s="5" t="s">
        <v>453</v>
      </c>
      <c r="C6" s="5">
        <v>3</v>
      </c>
      <c r="D6" s="5" t="s">
        <v>454</v>
      </c>
      <c r="E6" s="5" t="s">
        <v>455</v>
      </c>
      <c r="F6" s="5"/>
      <c r="G6" s="5" t="s">
        <v>131</v>
      </c>
    </row>
    <row r="7" spans="1:7" ht="27.75" customHeight="1" x14ac:dyDescent="0.2">
      <c r="A7" s="5" t="s">
        <v>456</v>
      </c>
      <c r="B7" s="5" t="s">
        <v>457</v>
      </c>
      <c r="C7" s="5">
        <v>3</v>
      </c>
      <c r="D7" s="5" t="s">
        <v>458</v>
      </c>
      <c r="E7" s="5" t="s">
        <v>293</v>
      </c>
      <c r="F7" s="5"/>
      <c r="G7" s="5" t="s">
        <v>131</v>
      </c>
    </row>
    <row r="8" spans="1:7" ht="27.75" customHeight="1" x14ac:dyDescent="0.2">
      <c r="A8" s="5" t="s">
        <v>459</v>
      </c>
      <c r="B8" s="5" t="s">
        <v>460</v>
      </c>
      <c r="C8" s="5">
        <v>2</v>
      </c>
      <c r="D8" s="5" t="s">
        <v>461</v>
      </c>
      <c r="E8" s="5" t="s">
        <v>456</v>
      </c>
      <c r="F8" s="5"/>
      <c r="G8" s="5" t="s">
        <v>131</v>
      </c>
    </row>
    <row r="9" spans="1:7" x14ac:dyDescent="0.2">
      <c r="A9" s="4"/>
      <c r="B9" s="3" t="s">
        <v>462</v>
      </c>
      <c r="C9" s="3">
        <v>8</v>
      </c>
      <c r="D9" s="4"/>
      <c r="E9" s="4"/>
      <c r="F9" s="4"/>
      <c r="G9" s="4"/>
    </row>
    <row r="11" spans="1:7" x14ac:dyDescent="0.2">
      <c r="A11" s="8" t="s">
        <v>463</v>
      </c>
      <c r="B11" s="8"/>
      <c r="C11" s="8"/>
      <c r="D11" s="8"/>
      <c r="E11" s="8"/>
      <c r="F11" s="8"/>
      <c r="G11" s="8"/>
    </row>
    <row r="12" spans="1:7" x14ac:dyDescent="0.2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29</v>
      </c>
      <c r="G12" s="1" t="s">
        <v>30</v>
      </c>
    </row>
    <row r="13" spans="1:7" ht="27.75" customHeight="1" x14ac:dyDescent="0.2">
      <c r="A13" s="5" t="s">
        <v>464</v>
      </c>
      <c r="B13" s="5" t="s">
        <v>465</v>
      </c>
      <c r="C13" s="5">
        <v>1</v>
      </c>
      <c r="D13" s="5" t="s">
        <v>466</v>
      </c>
      <c r="E13" s="5" t="s">
        <v>185</v>
      </c>
      <c r="F13" s="5"/>
      <c r="G13" s="5" t="s">
        <v>131</v>
      </c>
    </row>
    <row r="14" spans="1:7" ht="42" customHeight="1" x14ac:dyDescent="0.2">
      <c r="A14" s="5" t="s">
        <v>467</v>
      </c>
      <c r="B14" s="5" t="s">
        <v>468</v>
      </c>
      <c r="C14" s="5">
        <v>2</v>
      </c>
      <c r="D14" s="5" t="s">
        <v>469</v>
      </c>
      <c r="E14" s="5" t="s">
        <v>73</v>
      </c>
      <c r="F14" s="5"/>
      <c r="G14" s="5" t="s">
        <v>131</v>
      </c>
    </row>
    <row r="15" spans="1:7" ht="27.75" customHeight="1" x14ac:dyDescent="0.2">
      <c r="A15" s="5" t="s">
        <v>470</v>
      </c>
      <c r="B15" s="5" t="s">
        <v>471</v>
      </c>
      <c r="C15" s="5">
        <v>1</v>
      </c>
      <c r="D15" s="5" t="s">
        <v>472</v>
      </c>
      <c r="E15" s="5" t="s">
        <v>73</v>
      </c>
      <c r="F15" s="5"/>
      <c r="G15" s="5" t="s">
        <v>131</v>
      </c>
    </row>
    <row r="16" spans="1:7" x14ac:dyDescent="0.2">
      <c r="A16" s="4"/>
      <c r="B16" s="3" t="s">
        <v>473</v>
      </c>
      <c r="C16" s="3">
        <v>4</v>
      </c>
      <c r="D16" s="4"/>
      <c r="E16" s="4"/>
      <c r="F16" s="4"/>
      <c r="G16" s="4"/>
    </row>
    <row r="18" spans="1:7" x14ac:dyDescent="0.2">
      <c r="A18" s="8" t="s">
        <v>474</v>
      </c>
      <c r="B18" s="8"/>
      <c r="C18" s="8"/>
      <c r="D18" s="8"/>
      <c r="E18" s="8"/>
      <c r="F18" s="8"/>
      <c r="G18" s="8"/>
    </row>
    <row r="19" spans="1:7" x14ac:dyDescent="0.2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28</v>
      </c>
      <c r="F19" s="1" t="s">
        <v>29</v>
      </c>
      <c r="G19" s="1" t="s">
        <v>30</v>
      </c>
    </row>
    <row r="20" spans="1:7" ht="27.75" customHeight="1" x14ac:dyDescent="0.2">
      <c r="A20" s="5" t="s">
        <v>475</v>
      </c>
      <c r="B20" s="5" t="s">
        <v>476</v>
      </c>
      <c r="C20" s="5">
        <v>1</v>
      </c>
      <c r="D20" s="5" t="s">
        <v>477</v>
      </c>
      <c r="E20" s="5" t="s">
        <v>478</v>
      </c>
      <c r="F20" s="5"/>
      <c r="G20" s="5" t="s">
        <v>131</v>
      </c>
    </row>
    <row r="21" spans="1:7" ht="27.75" customHeight="1" x14ac:dyDescent="0.2">
      <c r="A21" s="5" t="s">
        <v>479</v>
      </c>
      <c r="B21" s="5" t="s">
        <v>480</v>
      </c>
      <c r="C21" s="5">
        <v>1</v>
      </c>
      <c r="D21" s="5" t="s">
        <v>481</v>
      </c>
      <c r="E21" s="5" t="s">
        <v>482</v>
      </c>
      <c r="F21" s="5"/>
      <c r="G21" s="5" t="s">
        <v>131</v>
      </c>
    </row>
    <row r="22" spans="1:7" ht="27.75" customHeight="1" x14ac:dyDescent="0.2">
      <c r="A22" s="5" t="s">
        <v>483</v>
      </c>
      <c r="B22" s="5" t="s">
        <v>484</v>
      </c>
      <c r="C22" s="5">
        <v>1</v>
      </c>
      <c r="D22" s="5" t="s">
        <v>485</v>
      </c>
      <c r="E22" s="5" t="s">
        <v>379</v>
      </c>
      <c r="F22" s="5"/>
      <c r="G22" s="5" t="s">
        <v>131</v>
      </c>
    </row>
    <row r="23" spans="1:7" ht="27.75" customHeight="1" x14ac:dyDescent="0.2">
      <c r="A23" s="5" t="s">
        <v>486</v>
      </c>
      <c r="B23" s="5" t="s">
        <v>487</v>
      </c>
      <c r="C23" s="5">
        <v>2</v>
      </c>
      <c r="D23" s="5" t="s">
        <v>488</v>
      </c>
      <c r="E23" s="5" t="s">
        <v>340</v>
      </c>
      <c r="F23" s="5"/>
      <c r="G23" s="5" t="s">
        <v>131</v>
      </c>
    </row>
    <row r="24" spans="1:7" x14ac:dyDescent="0.2">
      <c r="A24" s="4"/>
      <c r="B24" s="3" t="s">
        <v>489</v>
      </c>
      <c r="C24" s="3">
        <v>5</v>
      </c>
      <c r="D24" s="4"/>
      <c r="E24" s="4"/>
      <c r="F24" s="4"/>
      <c r="G24" s="4"/>
    </row>
  </sheetData>
  <mergeCells count="5">
    <mergeCell ref="A1:G1"/>
    <mergeCell ref="A2:G2"/>
    <mergeCell ref="A4:G4"/>
    <mergeCell ref="A11:G11"/>
    <mergeCell ref="A18:G18"/>
  </mergeCells>
  <conditionalFormatting sqref="G6:G23">
    <cfRule type="cellIs" dxfId="9" priority="2" operator="equal">
      <formula>"No iniciado"</formula>
    </cfRule>
    <cfRule type="cellIs" dxfId="8" priority="3" operator="equal">
      <formula>"En progreso"</formula>
    </cfRule>
    <cfRule type="cellIs" dxfId="7" priority="4" operator="equal">
      <formula>"Bloqueado"</formula>
    </cfRule>
    <cfRule type="cellIs" dxfId="6" priority="5" operator="equal">
      <formula>"En revisión"</formula>
    </cfRule>
    <cfRule type="cellIs" dxfId="5" priority="6" operator="equal">
      <formula>"Completado"</formula>
    </cfRule>
  </conditionalFormatting>
  <dataValidations count="1">
    <dataValidation type="list" allowBlank="1" sqref="G6:G8 G13:G15 G20:G23" xr:uid="{00000000-0002-0000-0700-000000000000}">
      <formula1>"No iniciado,En progreso,Bloqueado,En revisión,Completado"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zoomScaleNormal="100" workbookViewId="0">
      <pane ySplit="4" topLeftCell="A5" activePane="bottomLeft" state="frozen"/>
      <selection pane="bottomLeft" sqref="A1:G1"/>
    </sheetView>
  </sheetViews>
  <sheetFormatPr baseColWidth="10" defaultColWidth="8.6640625" defaultRowHeight="15" x14ac:dyDescent="0.2"/>
  <cols>
    <col min="1" max="1" width="8" customWidth="1"/>
    <col min="2" max="2" width="55" customWidth="1"/>
    <col min="3" max="3" width="6" customWidth="1"/>
    <col min="4" max="4" width="60" customWidth="1"/>
    <col min="5" max="5" width="16" customWidth="1"/>
    <col min="6" max="6" width="14" customWidth="1"/>
    <col min="7" max="7" width="16" customWidth="1"/>
  </cols>
  <sheetData>
    <row r="1" spans="1:7" ht="16.5" customHeight="1" x14ac:dyDescent="0.2">
      <c r="A1" s="6" t="s">
        <v>19</v>
      </c>
      <c r="B1" s="6"/>
      <c r="C1" s="6"/>
      <c r="D1" s="6"/>
      <c r="E1" s="6"/>
      <c r="F1" s="6"/>
      <c r="G1" s="6"/>
    </row>
    <row r="2" spans="1:7" x14ac:dyDescent="0.2">
      <c r="A2" s="7" t="s">
        <v>450</v>
      </c>
      <c r="B2" s="7"/>
      <c r="C2" s="7"/>
      <c r="D2" s="7"/>
      <c r="E2" s="7"/>
      <c r="F2" s="7"/>
      <c r="G2" s="7"/>
    </row>
    <row r="4" spans="1:7" x14ac:dyDescent="0.2">
      <c r="A4" s="8" t="s">
        <v>490</v>
      </c>
      <c r="B4" s="8"/>
      <c r="C4" s="8"/>
      <c r="D4" s="8"/>
      <c r="E4" s="8"/>
      <c r="F4" s="8"/>
      <c r="G4" s="8"/>
    </row>
    <row r="5" spans="1:7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27.75" customHeight="1" x14ac:dyDescent="0.2">
      <c r="A6" s="5" t="s">
        <v>491</v>
      </c>
      <c r="B6" s="5" t="s">
        <v>492</v>
      </c>
      <c r="C6" s="5">
        <v>2</v>
      </c>
      <c r="D6" s="5" t="s">
        <v>493</v>
      </c>
      <c r="E6" s="5" t="s">
        <v>494</v>
      </c>
      <c r="F6" s="5"/>
      <c r="G6" s="5" t="s">
        <v>131</v>
      </c>
    </row>
    <row r="7" spans="1:7" ht="27.75" customHeight="1" x14ac:dyDescent="0.2">
      <c r="A7" s="5" t="s">
        <v>495</v>
      </c>
      <c r="B7" s="5" t="s">
        <v>496</v>
      </c>
      <c r="C7" s="5">
        <v>2</v>
      </c>
      <c r="D7" s="5" t="s">
        <v>497</v>
      </c>
      <c r="E7" s="5" t="s">
        <v>498</v>
      </c>
      <c r="F7" s="5"/>
      <c r="G7" s="5" t="s">
        <v>131</v>
      </c>
    </row>
    <row r="8" spans="1:7" ht="27.75" customHeight="1" x14ac:dyDescent="0.2">
      <c r="A8" s="5" t="s">
        <v>499</v>
      </c>
      <c r="B8" s="5" t="s">
        <v>500</v>
      </c>
      <c r="C8" s="5">
        <v>3</v>
      </c>
      <c r="D8" s="5" t="s">
        <v>501</v>
      </c>
      <c r="E8" s="5" t="s">
        <v>502</v>
      </c>
      <c r="F8" s="5"/>
      <c r="G8" s="5" t="s">
        <v>131</v>
      </c>
    </row>
    <row r="9" spans="1:7" x14ac:dyDescent="0.2">
      <c r="A9" s="4"/>
      <c r="B9" s="3" t="s">
        <v>503</v>
      </c>
      <c r="C9" s="3">
        <v>7</v>
      </c>
      <c r="D9" s="4"/>
      <c r="E9" s="4"/>
      <c r="F9" s="4"/>
      <c r="G9" s="4"/>
    </row>
    <row r="11" spans="1:7" x14ac:dyDescent="0.2">
      <c r="A11" s="8" t="s">
        <v>504</v>
      </c>
      <c r="B11" s="8"/>
      <c r="C11" s="8"/>
      <c r="D11" s="8"/>
      <c r="E11" s="8"/>
      <c r="F11" s="8"/>
      <c r="G11" s="8"/>
    </row>
    <row r="12" spans="1:7" x14ac:dyDescent="0.2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29</v>
      </c>
      <c r="G12" s="1" t="s">
        <v>30</v>
      </c>
    </row>
    <row r="13" spans="1:7" ht="27.75" customHeight="1" x14ac:dyDescent="0.2">
      <c r="A13" s="5" t="s">
        <v>505</v>
      </c>
      <c r="B13" s="5" t="s">
        <v>506</v>
      </c>
      <c r="C13" s="5">
        <v>2</v>
      </c>
      <c r="D13" s="5" t="s">
        <v>507</v>
      </c>
      <c r="E13" s="5" t="s">
        <v>495</v>
      </c>
      <c r="F13" s="5"/>
      <c r="G13" s="5" t="s">
        <v>131</v>
      </c>
    </row>
    <row r="14" spans="1:7" ht="27.75" customHeight="1" x14ac:dyDescent="0.2">
      <c r="A14" s="5" t="s">
        <v>508</v>
      </c>
      <c r="B14" s="5" t="s">
        <v>509</v>
      </c>
      <c r="C14" s="5">
        <v>3</v>
      </c>
      <c r="D14" s="5" t="s">
        <v>510</v>
      </c>
      <c r="E14" s="5" t="s">
        <v>511</v>
      </c>
      <c r="F14" s="5"/>
      <c r="G14" s="5" t="s">
        <v>131</v>
      </c>
    </row>
    <row r="15" spans="1:7" ht="27.75" customHeight="1" x14ac:dyDescent="0.2">
      <c r="A15" s="5" t="s">
        <v>512</v>
      </c>
      <c r="B15" s="5" t="s">
        <v>513</v>
      </c>
      <c r="C15" s="5">
        <v>3</v>
      </c>
      <c r="D15" s="5" t="s">
        <v>514</v>
      </c>
      <c r="E15" s="5" t="s">
        <v>508</v>
      </c>
      <c r="F15" s="5"/>
      <c r="G15" s="5" t="s">
        <v>131</v>
      </c>
    </row>
    <row r="16" spans="1:7" ht="27.75" customHeight="1" x14ac:dyDescent="0.2">
      <c r="A16" s="5" t="s">
        <v>515</v>
      </c>
      <c r="B16" s="5" t="s">
        <v>516</v>
      </c>
      <c r="C16" s="5">
        <v>2</v>
      </c>
      <c r="D16" s="5" t="s">
        <v>517</v>
      </c>
      <c r="E16" s="5" t="s">
        <v>512</v>
      </c>
      <c r="F16" s="5"/>
      <c r="G16" s="5" t="s">
        <v>131</v>
      </c>
    </row>
    <row r="17" spans="1:7" x14ac:dyDescent="0.2">
      <c r="A17" s="4"/>
      <c r="B17" s="3" t="s">
        <v>518</v>
      </c>
      <c r="C17" s="3">
        <v>10</v>
      </c>
      <c r="D17" s="4"/>
      <c r="E17" s="4"/>
      <c r="F17" s="4"/>
      <c r="G17" s="4"/>
    </row>
  </sheetData>
  <mergeCells count="4">
    <mergeCell ref="A1:G1"/>
    <mergeCell ref="A2:G2"/>
    <mergeCell ref="A4:G4"/>
    <mergeCell ref="A11:G11"/>
  </mergeCells>
  <conditionalFormatting sqref="G6:G16">
    <cfRule type="cellIs" dxfId="4" priority="2" operator="equal">
      <formula>"No iniciado"</formula>
    </cfRule>
    <cfRule type="cellIs" dxfId="3" priority="3" operator="equal">
      <formula>"En progreso"</formula>
    </cfRule>
    <cfRule type="cellIs" dxfId="2" priority="4" operator="equal">
      <formula>"Bloqueado"</formula>
    </cfRule>
    <cfRule type="cellIs" dxfId="1" priority="5" operator="equal">
      <formula>"En revisión"</formula>
    </cfRule>
    <cfRule type="cellIs" dxfId="0" priority="6" operator="equal">
      <formula>"Completado"</formula>
    </cfRule>
  </conditionalFormatting>
  <dataValidations count="1">
    <dataValidation type="list" allowBlank="1" sqref="G6:G8 G13:G16" xr:uid="{00000000-0002-0000-0800-000000000000}">
      <formula1>"No iniciado,En progreso,Bloqueado,En revisión,Completado"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1.0 Infraestructura y Datos</vt:lpstr>
      <vt:lpstr>2.0 M1 Preference Matching</vt:lpstr>
      <vt:lpstr>3.0 M2 Valuation Engine</vt:lpstr>
      <vt:lpstr>4.0 M3 NLP Orchestration</vt:lpstr>
      <vt:lpstr>5.0 Frontend UI</vt:lpstr>
      <vt:lpstr>6.0 Doc. Académica y Técnica</vt:lpstr>
      <vt:lpstr>7.0 Testing y Validación</vt:lpstr>
      <vt:lpstr>8.0 Deploy y 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HELIO CASTILLO</cp:lastModifiedBy>
  <cp:revision>0</cp:revision>
  <dcterms:created xsi:type="dcterms:W3CDTF">2026-07-01T04:35:14Z</dcterms:created>
  <dcterms:modified xsi:type="dcterms:W3CDTF">2026-07-14T23:44:53Z</dcterms:modified>
  <dc:language>en-US</dc:language>
</cp:coreProperties>
</file>